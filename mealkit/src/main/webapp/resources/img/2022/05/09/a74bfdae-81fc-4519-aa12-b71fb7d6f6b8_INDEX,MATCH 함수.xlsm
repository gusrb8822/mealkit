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현재_통합_문서" defaultThemeVersion="124226"/>
  <bookViews>
    <workbookView xWindow="480" yWindow="120" windowWidth="18195" windowHeight="11760"/>
  </bookViews>
  <sheets>
    <sheet name="예제1" sheetId="6" r:id="rId1"/>
    <sheet name="예제1(정답)" sheetId="8" r:id="rId2"/>
    <sheet name="예제2" sheetId="5" r:id="rId3"/>
    <sheet name="예제2(정답)" sheetId="7" r:id="rId4"/>
    <sheet name="예제3" sheetId="9" r:id="rId5"/>
    <sheet name="예제3(정답)" sheetId="10" r:id="rId6"/>
  </sheets>
  <definedNames>
    <definedName name="_xlnm._FilterDatabase" localSheetId="2" hidden="1">예제2!$E$9:$E$21</definedName>
    <definedName name="_xlnm._FilterDatabase" localSheetId="3" hidden="1">'예제2(정답)'!$E$9:$E$21</definedName>
    <definedName name="_xlnm._FilterDatabase" localSheetId="5" hidden="1">'예제3(정답)'!$B$4:$I$31</definedName>
    <definedName name="비서학과">예제1!$B$11:$J$11,예제1!$B$15:$J$15,예제1!$B$18:$J$18,예제1!$B$22:$J$22,예제1!$B$26:$J$26</definedName>
    <definedName name="성별" localSheetId="1">#REF!</definedName>
    <definedName name="성별" localSheetId="3">#REF!</definedName>
    <definedName name="성별" localSheetId="5">#REF!</definedName>
    <definedName name="성별">#REF!</definedName>
    <definedName name="실시">예제1!$B$11:$J$11,예제1!$B$16:$J$16,예제1!$B$18:$J$18,예제1!$B$20:$J$20,예제1!$B$22:$J$24</definedName>
    <definedName name="정교수">예제1!$B$11:$J$12,예제1!$B$15:$J$16,예제1!$B$20:$J$21</definedName>
  </definedNames>
  <calcPr calcId="144525"/>
</workbook>
</file>

<file path=xl/calcChain.xml><?xml version="1.0" encoding="utf-8"?>
<calcChain xmlns="http://schemas.openxmlformats.org/spreadsheetml/2006/main">
  <c r="I31" i="10" l="1"/>
  <c r="I29" i="10"/>
  <c r="I28" i="10"/>
  <c r="I27" i="10"/>
  <c r="I26" i="10"/>
  <c r="I25" i="10"/>
  <c r="I24" i="10"/>
  <c r="I22" i="10"/>
  <c r="I18" i="10"/>
  <c r="I17" i="10"/>
  <c r="I16" i="10"/>
  <c r="I15" i="10"/>
  <c r="I13" i="10"/>
  <c r="I12" i="10"/>
  <c r="I8" i="10"/>
  <c r="I5" i="10"/>
  <c r="I31" i="9" l="1"/>
  <c r="I29" i="9"/>
  <c r="I28" i="9"/>
  <c r="I27" i="9"/>
  <c r="I26" i="9"/>
  <c r="I25" i="9"/>
  <c r="I24" i="9"/>
  <c r="I22" i="9"/>
  <c r="I18" i="9"/>
  <c r="I17" i="9"/>
  <c r="I16" i="9"/>
  <c r="I15" i="9"/>
  <c r="I13" i="9"/>
  <c r="I12" i="9"/>
  <c r="I8" i="9"/>
  <c r="I5" i="9"/>
  <c r="L6" i="10" a="1"/>
  <c r="L6" i="10" s="1"/>
  <c r="L7" i="10" a="1"/>
  <c r="L7" i="10" s="1"/>
  <c r="L8" i="10" a="1"/>
  <c r="L8" i="10" s="1"/>
  <c r="L9" i="10" a="1"/>
  <c r="L9" i="10" s="1"/>
  <c r="L5" i="10" a="1"/>
  <c r="L5" i="10" s="1"/>
  <c r="L14" i="10" l="1" a="1"/>
  <c r="L14" i="10" s="1"/>
  <c r="L16" i="10" a="1"/>
  <c r="L16" i="10" s="1"/>
  <c r="L18" i="10" a="1"/>
  <c r="L18" i="10" s="1"/>
  <c r="L15" i="10" a="1"/>
  <c r="L15" i="10" s="1"/>
  <c r="L17" i="10" a="1"/>
  <c r="L17" i="10" s="1"/>
  <c r="I4" i="8" l="1" a="1"/>
  <c r="I4" i="8" s="1"/>
  <c r="I3" i="8" a="1"/>
  <c r="I3" i="8" s="1"/>
  <c r="F4" i="8" a="1"/>
  <c r="F4" i="8"/>
  <c r="F5" i="8" a="1"/>
  <c r="F5" i="8" s="1"/>
  <c r="F3" i="8" a="1"/>
  <c r="F3" i="8" s="1"/>
  <c r="C4" i="8" a="1"/>
  <c r="C4" i="8" s="1"/>
  <c r="C5" i="8" a="1"/>
  <c r="C5" i="8"/>
  <c r="C6" i="8" a="1"/>
  <c r="C6" i="8" s="1"/>
  <c r="C3" i="8" a="1"/>
  <c r="C3" i="8" s="1"/>
  <c r="I4" i="7" a="1"/>
  <c r="I4" i="7" s="1"/>
  <c r="I5" i="7" a="1"/>
  <c r="I5" i="7"/>
  <c r="I6" i="7" a="1"/>
  <c r="I6" i="7" s="1"/>
  <c r="I3" i="7" a="1"/>
  <c r="I3" i="7" s="1"/>
  <c r="F4" i="7" a="1"/>
  <c r="F4" i="7" s="1"/>
  <c r="F3" i="7" a="1"/>
  <c r="F3" i="7" s="1"/>
  <c r="C4" i="7" l="1" a="1"/>
  <c r="C4" i="7" s="1"/>
  <c r="C3" i="7" a="1"/>
  <c r="C3" i="7" s="1"/>
  <c r="H21" i="7"/>
  <c r="H20" i="7"/>
  <c r="H19" i="7"/>
  <c r="H18" i="7"/>
  <c r="H17" i="7"/>
  <c r="H16" i="7"/>
  <c r="H15" i="7"/>
  <c r="H14" i="7"/>
  <c r="H13" i="7"/>
  <c r="H12" i="7"/>
  <c r="H11" i="7"/>
  <c r="H10" i="7"/>
  <c r="H11" i="5"/>
  <c r="H12" i="5"/>
  <c r="H13" i="5"/>
  <c r="H14" i="5"/>
  <c r="H15" i="5"/>
  <c r="H16" i="5"/>
  <c r="H17" i="5"/>
  <c r="H18" i="5"/>
  <c r="H19" i="5"/>
  <c r="H20" i="5"/>
  <c r="H21" i="5"/>
  <c r="H10" i="5"/>
</calcChain>
</file>

<file path=xl/sharedStrings.xml><?xml version="1.0" encoding="utf-8"?>
<sst xmlns="http://schemas.openxmlformats.org/spreadsheetml/2006/main" count="654" uniqueCount="188">
  <si>
    <t>[표1]</t>
    <phoneticPr fontId="3" type="noConversion"/>
  </si>
  <si>
    <t>[표4]</t>
    <phoneticPr fontId="3" type="noConversion"/>
  </si>
  <si>
    <t>달성</t>
  </si>
  <si>
    <t>미달</t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</si>
  <si>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</si>
  <si>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</si>
  <si>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</si>
  <si>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</si>
  <si>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</si>
  <si>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</si>
  <si>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</si>
  <si>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</si>
  <si>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</si>
  <si>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</si>
  <si>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</si>
  <si>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</si>
  <si>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</si>
  <si>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</si>
  <si>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</si>
  <si>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</si>
  <si>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</si>
  <si>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</si>
  <si>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</si>
  <si>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</si>
  <si>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</si>
  <si>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</si>
  <si>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</si>
  <si>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</si>
  <si>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</si>
  <si>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</si>
  <si>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</si>
  <si>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</si>
  <si>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</si>
  <si>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</si>
  <si>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</si>
  <si>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정규직</t>
    <phoneticPr fontId="3" type="noConversion"/>
  </si>
  <si>
    <t>계약직</t>
    <phoneticPr fontId="3" type="noConversion"/>
  </si>
  <si>
    <t>[표3]</t>
    <phoneticPr fontId="3" type="noConversion"/>
  </si>
  <si>
    <t>달성</t>
    <phoneticPr fontId="3" type="noConversion"/>
  </si>
  <si>
    <t>미달</t>
    <phoneticPr fontId="3" type="noConversion"/>
  </si>
  <si>
    <t>[표4]</t>
    <phoneticPr fontId="3" type="noConversion"/>
  </si>
  <si>
    <t>채용형태</t>
    <phoneticPr fontId="3" type="noConversion"/>
  </si>
  <si>
    <t>실적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</si>
  <si>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</si>
  <si>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</si>
  <si>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</si>
  <si>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</si>
  <si>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</si>
  <si>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</si>
  <si>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t>정규직</t>
    <phoneticPr fontId="3" type="noConversion"/>
  </si>
  <si>
    <t>계약직</t>
    <phoneticPr fontId="3" type="noConversion"/>
  </si>
  <si>
    <t>소속</t>
    <phoneticPr fontId="3" type="noConversion"/>
  </si>
  <si>
    <t>[표2]</t>
    <phoneticPr fontId="3" type="noConversion"/>
  </si>
  <si>
    <t>채용형태</t>
    <phoneticPr fontId="3" type="noConversion"/>
  </si>
  <si>
    <t>미달</t>
    <phoneticPr fontId="3" type="noConversion"/>
  </si>
  <si>
    <t>달성</t>
    <phoneticPr fontId="3" type="noConversion"/>
  </si>
  <si>
    <t>도충선</t>
    <phoneticPr fontId="3" type="noConversion"/>
  </si>
  <si>
    <t>담당자</t>
    <phoneticPr fontId="3" type="noConversion"/>
  </si>
  <si>
    <t>김종란</t>
    <phoneticPr fontId="3" type="noConversion"/>
  </si>
  <si>
    <t>방극준</t>
    <phoneticPr fontId="3" type="noConversion"/>
  </si>
  <si>
    <t>김원섭</t>
    <phoneticPr fontId="3" type="noConversion"/>
  </si>
  <si>
    <t>김수지</t>
    <phoneticPr fontId="3" type="noConversion"/>
  </si>
  <si>
    <t>김충희</t>
    <phoneticPr fontId="3" type="noConversion"/>
  </si>
  <si>
    <t>유제관</t>
    <phoneticPr fontId="3" type="noConversion"/>
  </si>
  <si>
    <t>김병열</t>
    <phoneticPr fontId="3" type="noConversion"/>
  </si>
  <si>
    <t>김석하</t>
    <phoneticPr fontId="3" type="noConversion"/>
  </si>
  <si>
    <t>김영희</t>
    <phoneticPr fontId="3" type="noConversion"/>
  </si>
  <si>
    <t>김이란</t>
    <phoneticPr fontId="3" type="noConversion"/>
  </si>
  <si>
    <t>백준걸</t>
    <phoneticPr fontId="3" type="noConversion"/>
  </si>
  <si>
    <t>담당자</t>
    <phoneticPr fontId="3" type="noConversion"/>
  </si>
  <si>
    <t>[표3]</t>
    <phoneticPr fontId="3" type="noConversion"/>
  </si>
  <si>
    <t>평가</t>
    <phoneticPr fontId="3" type="noConversion"/>
  </si>
  <si>
    <t>평가</t>
    <phoneticPr fontId="3" type="noConversion"/>
  </si>
  <si>
    <t>사용경비</t>
    <phoneticPr fontId="3" type="noConversion"/>
  </si>
  <si>
    <t>제품코드</t>
    <phoneticPr fontId="3" type="noConversion"/>
  </si>
  <si>
    <t>H1</t>
    <phoneticPr fontId="3" type="noConversion"/>
  </si>
  <si>
    <t>S2</t>
    <phoneticPr fontId="3" type="noConversion"/>
  </si>
  <si>
    <t>S1</t>
    <phoneticPr fontId="3" type="noConversion"/>
  </si>
  <si>
    <t>H2</t>
    <phoneticPr fontId="3" type="noConversion"/>
  </si>
  <si>
    <t>제품코드</t>
    <phoneticPr fontId="3" type="noConversion"/>
  </si>
  <si>
    <t>H1</t>
    <phoneticPr fontId="3" type="noConversion"/>
  </si>
  <si>
    <t>H2</t>
    <phoneticPr fontId="3" type="noConversion"/>
  </si>
  <si>
    <t>S1</t>
    <phoneticPr fontId="3" type="noConversion"/>
  </si>
  <si>
    <t>S2</t>
    <phoneticPr fontId="3" type="noConversion"/>
  </si>
  <si>
    <t>순이익</t>
    <phoneticPr fontId="2" type="noConversion"/>
  </si>
  <si>
    <t>성명</t>
    <phoneticPr fontId="3" type="noConversion"/>
  </si>
  <si>
    <t>교번</t>
    <phoneticPr fontId="3" type="noConversion"/>
  </si>
  <si>
    <t>BA-034</t>
    <phoneticPr fontId="3" type="noConversion"/>
  </si>
  <si>
    <t>BA-037</t>
    <phoneticPr fontId="3" type="noConversion"/>
  </si>
  <si>
    <t>SA-029</t>
    <phoneticPr fontId="3" type="noConversion"/>
  </si>
  <si>
    <t>BA-035</t>
    <phoneticPr fontId="3" type="noConversion"/>
  </si>
  <si>
    <t>BA-004</t>
    <phoneticPr fontId="3" type="noConversion"/>
  </si>
  <si>
    <t>SA-007</t>
    <phoneticPr fontId="3" type="noConversion"/>
  </si>
  <si>
    <t>SA-031</t>
    <phoneticPr fontId="3" type="noConversion"/>
  </si>
  <si>
    <t>SA-009</t>
    <phoneticPr fontId="3" type="noConversion"/>
  </si>
  <si>
    <t>BA-008</t>
    <phoneticPr fontId="3" type="noConversion"/>
  </si>
  <si>
    <t>BA-013</t>
    <phoneticPr fontId="3" type="noConversion"/>
  </si>
  <si>
    <t>BA-012</t>
    <phoneticPr fontId="3" type="noConversion"/>
  </si>
  <si>
    <t>SA-039</t>
    <phoneticPr fontId="3" type="noConversion"/>
  </si>
  <si>
    <t>BA-038</t>
    <phoneticPr fontId="3" type="noConversion"/>
  </si>
  <si>
    <t>SA-028</t>
    <phoneticPr fontId="3" type="noConversion"/>
  </si>
  <si>
    <t>SA-016</t>
    <phoneticPr fontId="3" type="noConversion"/>
  </si>
  <si>
    <t>BA-011</t>
    <phoneticPr fontId="3" type="noConversion"/>
  </si>
  <si>
    <t>[표2]</t>
    <phoneticPr fontId="3" type="noConversion"/>
  </si>
  <si>
    <t>정교수</t>
    <phoneticPr fontId="3" type="noConversion"/>
  </si>
  <si>
    <t>부교수</t>
    <phoneticPr fontId="3" type="noConversion"/>
  </si>
  <si>
    <t>교번</t>
    <phoneticPr fontId="3" type="noConversion"/>
  </si>
  <si>
    <t>실시</t>
    <phoneticPr fontId="3" type="noConversion"/>
  </si>
  <si>
    <t>실시</t>
    <phoneticPr fontId="3" type="noConversion"/>
  </si>
  <si>
    <t>미실시</t>
    <phoneticPr fontId="3" type="noConversion"/>
  </si>
  <si>
    <t>미실시</t>
    <phoneticPr fontId="3" type="noConversion"/>
  </si>
  <si>
    <t>평가여부</t>
    <phoneticPr fontId="3" type="noConversion"/>
  </si>
  <si>
    <t>평가여부</t>
    <phoneticPr fontId="3" type="noConversion"/>
  </si>
  <si>
    <t>성명</t>
    <phoneticPr fontId="3" type="noConversion"/>
  </si>
  <si>
    <t>직급</t>
    <phoneticPr fontId="3" type="noConversion"/>
  </si>
  <si>
    <t>학과</t>
    <phoneticPr fontId="3" type="noConversion"/>
  </si>
  <si>
    <t>[표1]</t>
    <phoneticPr fontId="2" type="noConversion"/>
  </si>
  <si>
    <t>[표2]</t>
    <phoneticPr fontId="2" type="noConversion"/>
  </si>
  <si>
    <t>구분</t>
    <phoneticPr fontId="3" type="noConversion"/>
  </si>
  <si>
    <t>강좌명</t>
  </si>
  <si>
    <t>강사명</t>
  </si>
  <si>
    <t>강의요일</t>
    <phoneticPr fontId="3" type="noConversion"/>
  </si>
  <si>
    <t>정원</t>
  </si>
  <si>
    <t>등록</t>
    <phoneticPr fontId="3" type="noConversion"/>
  </si>
  <si>
    <t>수강료</t>
  </si>
  <si>
    <t>강사료</t>
    <phoneticPr fontId="3" type="noConversion"/>
  </si>
  <si>
    <t>강의요일</t>
    <phoneticPr fontId="2" type="noConversion"/>
  </si>
  <si>
    <t>어린이</t>
  </si>
  <si>
    <t>플롯</t>
  </si>
  <si>
    <t>강준모</t>
  </si>
  <si>
    <t>목</t>
  </si>
  <si>
    <t>월</t>
    <phoneticPr fontId="2" type="noConversion"/>
  </si>
  <si>
    <t>성인</t>
  </si>
  <si>
    <t>원어민중국어</t>
  </si>
  <si>
    <t>고민지</t>
  </si>
  <si>
    <t>월</t>
  </si>
  <si>
    <t>화</t>
    <phoneticPr fontId="2" type="noConversion"/>
  </si>
  <si>
    <t>중국어심화</t>
  </si>
  <si>
    <t>수</t>
    <phoneticPr fontId="2" type="noConversion"/>
  </si>
  <si>
    <t>중국어기초</t>
  </si>
  <si>
    <t>금</t>
  </si>
  <si>
    <t>목</t>
    <phoneticPr fontId="2" type="noConversion"/>
  </si>
  <si>
    <t>바이올린</t>
  </si>
  <si>
    <t>권내현</t>
  </si>
  <si>
    <t>금</t>
    <phoneticPr fontId="2" type="noConversion"/>
  </si>
  <si>
    <t>오카리나(중급)</t>
  </si>
  <si>
    <t>권윤재</t>
  </si>
  <si>
    <t>오카리나(기초)</t>
  </si>
  <si>
    <t>[표3]</t>
    <phoneticPr fontId="3" type="noConversion"/>
  </si>
  <si>
    <t>강사명</t>
    <phoneticPr fontId="3" type="noConversion"/>
  </si>
  <si>
    <t>크로마하프</t>
  </si>
  <si>
    <t>김범준</t>
  </si>
  <si>
    <t>화</t>
  </si>
  <si>
    <t>플루트</t>
  </si>
  <si>
    <t>김영찬</t>
  </si>
  <si>
    <t>손글씨기초</t>
  </si>
  <si>
    <t>김유진</t>
  </si>
  <si>
    <t>김준형</t>
  </si>
  <si>
    <t>손글씨중급</t>
  </si>
  <si>
    <t>신효주</t>
  </si>
  <si>
    <t>천연비누</t>
  </si>
  <si>
    <t>김윤아</t>
  </si>
  <si>
    <t>수</t>
  </si>
  <si>
    <t>최지수</t>
  </si>
  <si>
    <t>영어(기초)</t>
  </si>
  <si>
    <t>영어(중급)</t>
  </si>
  <si>
    <t>미용자격증</t>
  </si>
  <si>
    <t>김지원</t>
  </si>
  <si>
    <t>가정요리</t>
  </si>
  <si>
    <t>김호빈</t>
  </si>
  <si>
    <t>파티 요리</t>
  </si>
  <si>
    <t>한글서예</t>
  </si>
  <si>
    <t>성희원</t>
  </si>
  <si>
    <t>폼아트중급</t>
  </si>
  <si>
    <t>폼아트기초</t>
  </si>
  <si>
    <t>요술풍선</t>
  </si>
  <si>
    <t>이유빈</t>
  </si>
  <si>
    <t>풍선아트</t>
  </si>
  <si>
    <t>정소윤</t>
  </si>
  <si>
    <t>뜨게방</t>
  </si>
  <si>
    <t>최아형</t>
  </si>
  <si>
    <t>화</t>
    <phoneticPr fontId="3" type="noConversion"/>
  </si>
  <si>
    <t>일본어초급</t>
  </si>
  <si>
    <t>일본어중급</t>
  </si>
  <si>
    <t>최소 등록
강사명</t>
    <phoneticPr fontId="3" type="noConversion"/>
  </si>
  <si>
    <t>최소 강사료
강좌명</t>
    <phoneticPr fontId="3" type="noConversion"/>
  </si>
  <si>
    <t>직급</t>
    <phoneticPr fontId="3" type="noConversion"/>
  </si>
  <si>
    <t>학과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</si>
</sst>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_ * #,##0_ ;_ * \-#,##0_ ;_ * &quot;-&quot;_ ;_ @_ "/>
    <numFmt numFmtId="178" formatCode="_ * #,##0.00_ ;_ * \-#,##0.00_ ;_ * &quot;-&quot;??_ ;_ @_ "/>
    <numFmt numFmtId="179" formatCode="&quot;₩&quot;#,##0;&quot;₩&quot;&quot;₩&quot;\-#,##0"/>
    <numFmt numFmtId="180" formatCode="_ * #,##0.00_ ;_ * \-#,##0.00_ ;_ * &quot;-&quot;_ ;_ @_ "/>
    <numFmt numFmtId="181" formatCode="&quot;₩&quot;#,##0.00;&quot;₩&quot;\-#,##0.00"/>
    <numFmt numFmtId="182" formatCode="_(* #,##0_);_(* \(#,##0\);_(* &quot;-&quot;_);_(@_)"/>
  </numFmts>
  <fonts count="3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7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1" fillId="0" borderId="0">
      <alignment vertical="center"/>
    </xf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" fillId="0" borderId="0"/>
    <xf numFmtId="0" fontId="5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10" fillId="8" borderId="0" applyNumberFormat="0" applyBorder="0" applyAlignment="0" applyProtection="0"/>
    <xf numFmtId="0" fontId="10" fillId="11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14" borderId="0" applyNumberFormat="0" applyBorder="0" applyAlignment="0" applyProtection="0"/>
    <xf numFmtId="0" fontId="10" fillId="8" borderId="0" applyNumberFormat="0" applyBorder="0" applyAlignment="0" applyProtection="0"/>
    <xf numFmtId="0" fontId="10" fillId="15" borderId="0" applyNumberFormat="0" applyBorder="0" applyAlignment="0" applyProtection="0"/>
    <xf numFmtId="0" fontId="9" fillId="15" borderId="0" applyNumberFormat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2" fillId="16" borderId="0" applyNumberFormat="0" applyBorder="0" applyAlignment="0" applyProtection="0"/>
    <xf numFmtId="0" fontId="13" fillId="0" borderId="0"/>
    <xf numFmtId="0" fontId="11" fillId="0" borderId="0"/>
    <xf numFmtId="0" fontId="14" fillId="17" borderId="13" applyNumberFormat="0" applyAlignment="0" applyProtection="0"/>
    <xf numFmtId="0" fontId="15" fillId="10" borderId="14" applyNumberFormat="0" applyAlignment="0" applyProtection="0"/>
    <xf numFmtId="177" fontId="16" fillId="0" borderId="0" applyFont="0" applyFill="0" applyBorder="0" applyAlignment="0" applyProtection="0"/>
    <xf numFmtId="178" fontId="16" fillId="0" borderId="0" applyFont="0" applyFill="0" applyBorder="0" applyAlignment="0" applyProtection="0"/>
    <xf numFmtId="3" fontId="16" fillId="0" borderId="0" applyFont="0" applyFill="0" applyBorder="0" applyAlignment="0" applyProtection="0"/>
    <xf numFmtId="0" fontId="5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0" fontId="16" fillId="0" borderId="0" applyFont="0" applyFill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2" fontId="16" fillId="0" borderId="0" applyFont="0" applyFill="0" applyBorder="0" applyAlignment="0" applyProtection="0"/>
    <xf numFmtId="0" fontId="18" fillId="11" borderId="0" applyNumberFormat="0" applyBorder="0" applyAlignment="0" applyProtection="0"/>
    <xf numFmtId="0" fontId="19" fillId="0" borderId="15" applyNumberFormat="0" applyAlignment="0" applyProtection="0">
      <alignment horizontal="left" vertical="center"/>
    </xf>
    <xf numFmtId="0" fontId="19" fillId="0" borderId="16">
      <alignment horizontal="left" vertical="center"/>
    </xf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1" fillId="0" borderId="17" applyNumberFormat="0" applyFill="0" applyAlignment="0" applyProtection="0"/>
    <xf numFmtId="0" fontId="21" fillId="0" borderId="0" applyNumberFormat="0" applyFill="0" applyBorder="0" applyAlignment="0" applyProtection="0"/>
    <xf numFmtId="0" fontId="22" fillId="15" borderId="13" applyNumberFormat="0" applyAlignment="0" applyProtection="0"/>
    <xf numFmtId="0" fontId="23" fillId="0" borderId="18" applyNumberFormat="0" applyFill="0" applyAlignment="0" applyProtection="0"/>
    <xf numFmtId="0" fontId="24" fillId="21" borderId="0" applyNumberFormat="0" applyBorder="0" applyAlignment="0" applyProtection="0"/>
    <xf numFmtId="0" fontId="16" fillId="0" borderId="0"/>
    <xf numFmtId="0" fontId="1" fillId="8" borderId="19" applyNumberFormat="0" applyFont="0" applyAlignment="0" applyProtection="0"/>
    <xf numFmtId="0" fontId="25" fillId="17" borderId="20" applyNumberFormat="0" applyAlignment="0" applyProtection="0"/>
    <xf numFmtId="10" fontId="16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/>
    <xf numFmtId="0" fontId="16" fillId="0" borderId="21" applyNumberFormat="0" applyFont="0" applyFill="0" applyAlignment="0" applyProtection="0"/>
    <xf numFmtId="0" fontId="28" fillId="0" borderId="0" applyNumberFormat="0" applyFill="0" applyBorder="0" applyAlignment="0" applyProtection="0"/>
    <xf numFmtId="41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29" fillId="0" borderId="0" applyFont="0" applyFill="0" applyBorder="0" applyAlignment="0" applyProtection="0">
      <alignment vertical="center"/>
    </xf>
    <xf numFmtId="41" fontId="29" fillId="0" borderId="0" applyFont="0" applyFill="0" applyBorder="0" applyAlignment="0" applyProtection="0">
      <alignment vertical="center"/>
    </xf>
    <xf numFmtId="182" fontId="34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9" fillId="0" borderId="0">
      <alignment vertical="center"/>
    </xf>
  </cellStyleXfs>
  <cellXfs count="61">
    <xf numFmtId="0" fontId="0" fillId="0" borderId="0" xfId="0">
      <alignment vertical="center"/>
    </xf>
    <xf numFmtId="0" fontId="30" fillId="0" borderId="0" xfId="3" applyFont="1">
      <alignment vertical="center"/>
    </xf>
    <xf numFmtId="0" fontId="30" fillId="0" borderId="1" xfId="3" applyFont="1" applyBorder="1" applyAlignment="1">
      <alignment horizontal="center" vertical="center"/>
    </xf>
    <xf numFmtId="0" fontId="30" fillId="3" borderId="1" xfId="3" applyFont="1" applyFill="1" applyBorder="1" applyAlignment="1">
      <alignment horizontal="center" vertical="center"/>
    </xf>
    <xf numFmtId="41" fontId="30" fillId="0" borderId="1" xfId="2" applyFont="1" applyBorder="1" applyAlignment="1">
      <alignment horizontal="center" vertical="center"/>
    </xf>
    <xf numFmtId="0" fontId="31" fillId="0" borderId="0" xfId="3" applyFont="1" applyBorder="1" applyAlignment="1">
      <alignment horizontal="center" vertical="center"/>
    </xf>
    <xf numFmtId="0" fontId="30" fillId="0" borderId="0" xfId="3" applyFont="1" applyBorder="1" applyAlignment="1">
      <alignment horizontal="center" vertical="center"/>
    </xf>
    <xf numFmtId="0" fontId="30" fillId="0" borderId="1" xfId="3" applyFont="1" applyFill="1" applyBorder="1" applyAlignment="1">
      <alignment horizontal="center" vertical="center"/>
    </xf>
    <xf numFmtId="0" fontId="30" fillId="0" borderId="0" xfId="1" applyFont="1" applyAlignment="1">
      <alignment vertical="center"/>
    </xf>
    <xf numFmtId="0" fontId="32" fillId="0" borderId="0" xfId="1" applyFont="1"/>
    <xf numFmtId="0" fontId="32" fillId="0" borderId="0" xfId="1" applyFont="1" applyAlignment="1">
      <alignment vertical="center"/>
    </xf>
    <xf numFmtId="0" fontId="33" fillId="0" borderId="9" xfId="1" applyFont="1" applyBorder="1" applyAlignment="1">
      <alignment horizontal="center" vertical="center"/>
    </xf>
    <xf numFmtId="0" fontId="33" fillId="2" borderId="1" xfId="1" applyFont="1" applyFill="1" applyBorder="1" applyAlignment="1">
      <alignment horizontal="center" vertical="center"/>
    </xf>
    <xf numFmtId="0" fontId="33" fillId="0" borderId="1" xfId="1" applyFont="1" applyBorder="1" applyAlignment="1">
      <alignment horizontal="center" vertical="center"/>
    </xf>
    <xf numFmtId="41" fontId="30" fillId="0" borderId="1" xfId="2" applyFont="1" applyBorder="1" applyAlignment="1">
      <alignment vertical="center"/>
    </xf>
    <xf numFmtId="0" fontId="31" fillId="0" borderId="0" xfId="1" applyFont="1" applyAlignment="1">
      <alignment horizontal="justify"/>
    </xf>
    <xf numFmtId="41" fontId="30" fillId="0" borderId="1" xfId="2" applyFont="1" applyFill="1" applyBorder="1" applyAlignment="1">
      <alignment horizontal="center" vertical="center" wrapText="1"/>
    </xf>
    <xf numFmtId="41" fontId="32" fillId="0" borderId="0" xfId="1" applyNumberFormat="1" applyFont="1" applyAlignment="1">
      <alignment vertical="center"/>
    </xf>
    <xf numFmtId="0" fontId="33" fillId="0" borderId="2" xfId="1" applyFont="1" applyBorder="1" applyAlignment="1">
      <alignment horizontal="center" vertical="center"/>
    </xf>
    <xf numFmtId="0" fontId="33" fillId="0" borderId="3" xfId="1" applyFont="1" applyBorder="1" applyAlignment="1">
      <alignment horizontal="center" vertical="center"/>
    </xf>
    <xf numFmtId="0" fontId="33" fillId="0" borderId="4" xfId="1" applyFont="1" applyFill="1" applyBorder="1" applyAlignment="1">
      <alignment horizontal="center" vertical="center"/>
    </xf>
    <xf numFmtId="0" fontId="30" fillId="0" borderId="5" xfId="1" applyFont="1" applyBorder="1" applyAlignment="1">
      <alignment horizontal="center" vertical="center"/>
    </xf>
    <xf numFmtId="0" fontId="30" fillId="0" borderId="6" xfId="1" applyFont="1" applyBorder="1" applyAlignment="1">
      <alignment horizontal="center" vertical="center"/>
    </xf>
    <xf numFmtId="41" fontId="30" fillId="0" borderId="6" xfId="2" applyFont="1" applyBorder="1" applyAlignment="1">
      <alignment horizontal="center" vertical="center"/>
    </xf>
    <xf numFmtId="176" fontId="30" fillId="0" borderId="7" xfId="2" applyNumberFormat="1" applyFont="1" applyBorder="1" applyAlignment="1">
      <alignment horizontal="center" vertical="center"/>
    </xf>
    <xf numFmtId="0" fontId="30" fillId="0" borderId="8" xfId="1" applyFont="1" applyBorder="1" applyAlignment="1">
      <alignment horizontal="center" vertical="center"/>
    </xf>
    <xf numFmtId="0" fontId="30" fillId="0" borderId="1" xfId="1" applyFont="1" applyBorder="1" applyAlignment="1">
      <alignment horizontal="center" vertical="center"/>
    </xf>
    <xf numFmtId="0" fontId="30" fillId="0" borderId="10" xfId="1" applyFont="1" applyBorder="1" applyAlignment="1">
      <alignment horizontal="center" vertical="center"/>
    </xf>
    <xf numFmtId="0" fontId="30" fillId="0" borderId="11" xfId="1" applyFont="1" applyBorder="1" applyAlignment="1">
      <alignment horizontal="center" vertical="center"/>
    </xf>
    <xf numFmtId="41" fontId="30" fillId="0" borderId="11" xfId="2" applyFont="1" applyBorder="1" applyAlignment="1">
      <alignment horizontal="center" vertical="center"/>
    </xf>
    <xf numFmtId="176" fontId="30" fillId="0" borderId="12" xfId="2" applyNumberFormat="1" applyFont="1" applyBorder="1" applyAlignment="1">
      <alignment horizontal="center" vertical="center"/>
    </xf>
    <xf numFmtId="41" fontId="32" fillId="0" borderId="0" xfId="1" applyNumberFormat="1" applyFont="1"/>
    <xf numFmtId="0" fontId="32" fillId="0" borderId="1" xfId="1" applyFont="1" applyBorder="1"/>
    <xf numFmtId="0" fontId="33" fillId="0" borderId="0" xfId="1" applyFont="1" applyBorder="1" applyAlignment="1">
      <alignment horizontal="center" vertical="center"/>
    </xf>
    <xf numFmtId="0" fontId="32" fillId="0" borderId="0" xfId="1" applyFont="1" applyBorder="1"/>
    <xf numFmtId="0" fontId="35" fillId="0" borderId="0" xfId="0" applyFont="1" applyAlignment="1">
      <alignment vertical="center"/>
    </xf>
    <xf numFmtId="41" fontId="35" fillId="0" borderId="0" xfId="79" applyFont="1" applyAlignment="1">
      <alignment vertical="center"/>
    </xf>
    <xf numFmtId="41" fontId="35" fillId="0" borderId="0" xfId="79" applyFont="1" applyAlignment="1">
      <alignment horizontal="left" vertical="center"/>
    </xf>
    <xf numFmtId="41" fontId="35" fillId="0" borderId="0" xfId="79" applyFont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41" fontId="33" fillId="0" borderId="1" xfId="79" applyFont="1" applyBorder="1" applyAlignment="1">
      <alignment horizontal="left" vertical="center"/>
    </xf>
    <xf numFmtId="41" fontId="33" fillId="0" borderId="1" xfId="79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3" fillId="22" borderId="1" xfId="0" applyFont="1" applyFill="1" applyBorder="1" applyAlignment="1">
      <alignment horizontal="center" vertical="center" wrapText="1"/>
    </xf>
    <xf numFmtId="41" fontId="35" fillId="0" borderId="1" xfId="79" applyFont="1" applyBorder="1" applyAlignment="1">
      <alignment horizontal="left" vertical="center"/>
    </xf>
    <xf numFmtId="41" fontId="35" fillId="0" borderId="1" xfId="79" applyFont="1" applyBorder="1" applyAlignment="1">
      <alignment horizontal="center" vertical="center"/>
    </xf>
    <xf numFmtId="41" fontId="35" fillId="0" borderId="1" xfId="79" applyFont="1" applyBorder="1" applyAlignment="1">
      <alignment horizontal="center" vertical="center" shrinkToFit="1"/>
    </xf>
    <xf numFmtId="9" fontId="35" fillId="0" borderId="0" xfId="80" applyFont="1" applyAlignment="1">
      <alignment vertical="center"/>
    </xf>
    <xf numFmtId="0" fontId="35" fillId="0" borderId="1" xfId="0" applyFont="1" applyFill="1" applyBorder="1" applyAlignment="1">
      <alignment horizontal="center" vertical="center"/>
    </xf>
    <xf numFmtId="41" fontId="35" fillId="0" borderId="0" xfId="79" applyFont="1" applyFill="1" applyBorder="1" applyAlignment="1">
      <alignment horizontal="center" vertical="center"/>
    </xf>
    <xf numFmtId="0" fontId="35" fillId="0" borderId="0" xfId="79" applyNumberFormat="1" applyFont="1" applyAlignment="1">
      <alignment vertical="center"/>
    </xf>
    <xf numFmtId="0" fontId="35" fillId="0" borderId="0" xfId="0" applyFont="1" applyBorder="1" applyAlignment="1">
      <alignment horizontal="center" vertical="center"/>
    </xf>
    <xf numFmtId="41" fontId="35" fillId="0" borderId="0" xfId="79" applyFont="1" applyBorder="1" applyAlignment="1">
      <alignment vertical="center"/>
    </xf>
    <xf numFmtId="41" fontId="35" fillId="0" borderId="0" xfId="79" applyFont="1" applyBorder="1" applyAlignment="1">
      <alignment horizontal="center" vertical="center"/>
    </xf>
    <xf numFmtId="0" fontId="35" fillId="0" borderId="0" xfId="0" applyFont="1" applyFill="1" applyAlignment="1">
      <alignment vertical="center"/>
    </xf>
    <xf numFmtId="41" fontId="35" fillId="0" borderId="0" xfId="0" applyNumberFormat="1" applyFont="1" applyAlignment="1">
      <alignment vertical="center"/>
    </xf>
    <xf numFmtId="41" fontId="30" fillId="0" borderId="1" xfId="2" applyFont="1" applyFill="1" applyBorder="1" applyAlignment="1">
      <alignment horizontal="center" vertical="center"/>
    </xf>
    <xf numFmtId="0" fontId="30" fillId="0" borderId="0" xfId="3" applyFont="1" applyFill="1">
      <alignment vertical="center"/>
    </xf>
    <xf numFmtId="0" fontId="30" fillId="23" borderId="1" xfId="3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22" borderId="1" xfId="0" applyFont="1" applyFill="1" applyBorder="1" applyAlignment="1">
      <alignment horizontal="center" vertical="center" wrapText="1"/>
    </xf>
  </cellXfs>
  <cellStyles count="87">
    <cellStyle name="A¨­￠￢￠O [0]_INQUIRY ￠?￥i¨u¡AAⓒ￢Aⓒª " xfId="12"/>
    <cellStyle name="A¨­￠￢￠O_INQUIRY ￠?￥i¨u¡AAⓒ￢Aⓒª " xfId="13"/>
    <cellStyle name="Accent1" xfId="14"/>
    <cellStyle name="Accent1 - 20%" xfId="15"/>
    <cellStyle name="Accent1 - 40%" xfId="16"/>
    <cellStyle name="Accent1 - 60%" xfId="17"/>
    <cellStyle name="Accent2" xfId="18"/>
    <cellStyle name="Accent2 - 20%" xfId="19"/>
    <cellStyle name="Accent2 - 40%" xfId="20"/>
    <cellStyle name="Accent2 - 60%" xfId="21"/>
    <cellStyle name="Accent3" xfId="22"/>
    <cellStyle name="Accent3 - 20%" xfId="23"/>
    <cellStyle name="Accent3 - 40%" xfId="24"/>
    <cellStyle name="Accent3 - 60%" xfId="25"/>
    <cellStyle name="Accent4" xfId="26"/>
    <cellStyle name="Accent4 - 20%" xfId="27"/>
    <cellStyle name="Accent4 - 40%" xfId="28"/>
    <cellStyle name="Accent4 - 60%" xfId="29"/>
    <cellStyle name="Accent5" xfId="30"/>
    <cellStyle name="Accent5 - 20%" xfId="31"/>
    <cellStyle name="Accent5 - 40%" xfId="32"/>
    <cellStyle name="Accent5 - 60%" xfId="33"/>
    <cellStyle name="Accent6" xfId="34"/>
    <cellStyle name="Accent6 - 20%" xfId="35"/>
    <cellStyle name="Accent6 - 40%" xfId="36"/>
    <cellStyle name="Accent6 - 60%" xfId="37"/>
    <cellStyle name="AeE­ [0]_AMT " xfId="38"/>
    <cellStyle name="AeE­_AMT " xfId="39"/>
    <cellStyle name="AeE¡ⓒ [0]_INQUIRY ￠?￥i¨u¡AAⓒ￢Aⓒª " xfId="40"/>
    <cellStyle name="AeE¡ⓒ_INQUIRY ￠?￥i¨u¡AAⓒ￢Aⓒª " xfId="41"/>
    <cellStyle name="AÞ¸¶ [0]_AN°y(1.25) " xfId="42"/>
    <cellStyle name="AÞ¸¶_AN°y(1.25) " xfId="43"/>
    <cellStyle name="Bad" xfId="44"/>
    <cellStyle name="C¡IA¨ª_¡ic¨u¡A¨￢I¨￢¡Æ AN¡Æe " xfId="45"/>
    <cellStyle name="C￥AØ_¿μ¾÷CoE² " xfId="46"/>
    <cellStyle name="Calculation" xfId="47"/>
    <cellStyle name="Check Cell" xfId="48"/>
    <cellStyle name="Comma [0]_ SG&amp;A Bridge " xfId="49"/>
    <cellStyle name="Comma_ SG&amp;A Bridge " xfId="50"/>
    <cellStyle name="Comma0" xfId="51"/>
    <cellStyle name="Curren?_x0012_퐀_x0017_?" xfId="52"/>
    <cellStyle name="Currency [0]_ SG&amp;A Bridge " xfId="53"/>
    <cellStyle name="Currency_ SG&amp;A Bridge " xfId="54"/>
    <cellStyle name="Currency0" xfId="55"/>
    <cellStyle name="Date" xfId="56"/>
    <cellStyle name="Emphasis 1" xfId="57"/>
    <cellStyle name="Emphasis 2" xfId="58"/>
    <cellStyle name="Emphasis 3" xfId="59"/>
    <cellStyle name="Fixed" xfId="60"/>
    <cellStyle name="Good" xfId="61"/>
    <cellStyle name="Header1" xfId="62"/>
    <cellStyle name="Header2" xfId="63"/>
    <cellStyle name="Heading 1" xfId="64"/>
    <cellStyle name="Heading 2" xfId="65"/>
    <cellStyle name="Heading 3" xfId="66"/>
    <cellStyle name="Heading 4" xfId="67"/>
    <cellStyle name="Input" xfId="68"/>
    <cellStyle name="Linked Cell" xfId="69"/>
    <cellStyle name="Neutral" xfId="70"/>
    <cellStyle name="Normal_ SG&amp;A Bridge " xfId="71"/>
    <cellStyle name="Note" xfId="72"/>
    <cellStyle name="Output" xfId="73"/>
    <cellStyle name="Percent [2]" xfId="74"/>
    <cellStyle name="Sheet Title" xfId="75"/>
    <cellStyle name="subhead" xfId="76"/>
    <cellStyle name="Total" xfId="77"/>
    <cellStyle name="Warning Text" xfId="78"/>
    <cellStyle name="똿뗦먛귟 [0.00]_PRODUCT DETAIL Q1" xfId="4"/>
    <cellStyle name="똿뗦먛귟_PRODUCT DETAIL Q1" xfId="5"/>
    <cellStyle name="믅됞 [0.00]_PRODUCT DETAIL Q1" xfId="6"/>
    <cellStyle name="믅됞_PRODUCT DETAIL Q1" xfId="7"/>
    <cellStyle name="백분율" xfId="80" builtinId="5"/>
    <cellStyle name="백분율 2" xfId="81"/>
    <cellStyle name="백분율 3" xfId="82"/>
    <cellStyle name="뷭?_BOOKSHIP" xfId="8"/>
    <cellStyle name="쉼표 [0]" xfId="79" builtinId="6"/>
    <cellStyle name="쉼표 [0] 2" xfId="2"/>
    <cellStyle name="쉼표 [0] 3" xfId="83"/>
    <cellStyle name="쉼표 [0] 4" xfId="84"/>
    <cellStyle name="스타일 1" xfId="9"/>
    <cellStyle name="콤마 [0]_ 견적기준 FLOW " xfId="10"/>
    <cellStyle name="콤마_ 견적기준 FLOW " xfId="11"/>
    <cellStyle name="통화 [0] 2" xfId="85"/>
    <cellStyle name="표준" xfId="0" builtinId="0"/>
    <cellStyle name="표준 2" xfId="1"/>
    <cellStyle name="표준 3" xfId="86"/>
    <cellStyle name="표준_1급 B형(정답)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99"/>
  </sheetPr>
  <dimension ref="B1:K26"/>
  <sheetViews>
    <sheetView tabSelected="1" workbookViewId="0">
      <selection activeCell="B3" sqref="B3"/>
    </sheetView>
  </sheetViews>
  <sheetFormatPr defaultRowHeight="13.5"/>
  <cols>
    <col min="1" max="1" width="2" style="1" customWidth="1"/>
    <col min="2" max="2" width="8" style="1" bestFit="1" customWidth="1"/>
    <col min="3" max="3" width="9.25" style="1" bestFit="1" customWidth="1"/>
    <col min="4" max="4" width="8.375" style="1" customWidth="1"/>
    <col min="5" max="7" width="8" style="1" bestFit="1" customWidth="1"/>
    <col min="8" max="8" width="9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11">
      <c r="B1" s="1" t="s">
        <v>0</v>
      </c>
      <c r="E1" s="1" t="s">
        <v>103</v>
      </c>
      <c r="H1" s="1" t="s">
        <v>37</v>
      </c>
    </row>
    <row r="2" spans="2:11">
      <c r="B2" s="2" t="s">
        <v>187</v>
      </c>
      <c r="C2" s="3" t="s">
        <v>85</v>
      </c>
      <c r="E2" s="2" t="s">
        <v>186</v>
      </c>
      <c r="F2" s="3" t="s">
        <v>106</v>
      </c>
      <c r="H2" s="2" t="s">
        <v>112</v>
      </c>
      <c r="I2" s="3" t="s">
        <v>113</v>
      </c>
    </row>
    <row r="3" spans="2:11">
      <c r="B3" s="2" t="s">
        <v>7</v>
      </c>
      <c r="C3" s="4"/>
      <c r="E3" s="2" t="s">
        <v>104</v>
      </c>
      <c r="F3" s="4"/>
      <c r="H3" s="2" t="s">
        <v>107</v>
      </c>
      <c r="I3" s="4"/>
    </row>
    <row r="4" spans="2:11">
      <c r="B4" s="2" t="s">
        <v>9</v>
      </c>
      <c r="C4" s="4"/>
      <c r="E4" s="2" t="s">
        <v>105</v>
      </c>
      <c r="F4" s="4"/>
      <c r="H4" s="2" t="s">
        <v>110</v>
      </c>
      <c r="I4" s="4"/>
    </row>
    <row r="5" spans="2:11">
      <c r="B5" s="2" t="s">
        <v>10</v>
      </c>
      <c r="C5" s="4"/>
      <c r="E5" s="2" t="s">
        <v>6</v>
      </c>
      <c r="F5" s="4"/>
    </row>
    <row r="6" spans="2:11">
      <c r="B6" s="2" t="s">
        <v>11</v>
      </c>
      <c r="C6" s="4"/>
    </row>
    <row r="8" spans="2:11">
      <c r="F8" s="6"/>
      <c r="G8" s="5"/>
      <c r="H8" s="5"/>
      <c r="I8" s="5"/>
    </row>
    <row r="9" spans="2:11">
      <c r="B9" s="1" t="s">
        <v>1</v>
      </c>
    </row>
    <row r="10" spans="2:11">
      <c r="B10" s="58" t="s">
        <v>15</v>
      </c>
      <c r="C10" s="58" t="s">
        <v>8</v>
      </c>
      <c r="D10" s="58" t="s">
        <v>86</v>
      </c>
      <c r="E10" s="58" t="s">
        <v>14</v>
      </c>
      <c r="F10" s="58" t="s">
        <v>16</v>
      </c>
      <c r="G10" s="58" t="s">
        <v>12</v>
      </c>
      <c r="H10" s="58" t="s">
        <v>13</v>
      </c>
      <c r="I10" s="58" t="s">
        <v>17</v>
      </c>
      <c r="J10" s="58" t="s">
        <v>111</v>
      </c>
    </row>
    <row r="11" spans="2:11">
      <c r="B11" s="7" t="s">
        <v>7</v>
      </c>
      <c r="C11" s="7" t="s">
        <v>4</v>
      </c>
      <c r="D11" s="7" t="s">
        <v>87</v>
      </c>
      <c r="E11" s="7" t="s">
        <v>18</v>
      </c>
      <c r="F11" s="7">
        <v>250</v>
      </c>
      <c r="G11" s="7">
        <v>4</v>
      </c>
      <c r="H11" s="7">
        <v>1</v>
      </c>
      <c r="I11" s="56">
        <v>1530000</v>
      </c>
      <c r="J11" s="56" t="s">
        <v>107</v>
      </c>
      <c r="K11" s="57"/>
    </row>
    <row r="12" spans="2:11">
      <c r="B12" s="7" t="s">
        <v>9</v>
      </c>
      <c r="C12" s="7" t="s">
        <v>4</v>
      </c>
      <c r="D12" s="7" t="s">
        <v>89</v>
      </c>
      <c r="E12" s="7" t="s">
        <v>20</v>
      </c>
      <c r="F12" s="7">
        <v>270</v>
      </c>
      <c r="G12" s="7">
        <v>11</v>
      </c>
      <c r="H12" s="7">
        <v>6</v>
      </c>
      <c r="I12" s="56">
        <v>1570000</v>
      </c>
      <c r="J12" s="56" t="s">
        <v>109</v>
      </c>
      <c r="K12" s="57"/>
    </row>
    <row r="13" spans="2:11">
      <c r="B13" s="7" t="s">
        <v>9</v>
      </c>
      <c r="C13" s="7" t="s">
        <v>6</v>
      </c>
      <c r="D13" s="7" t="s">
        <v>98</v>
      </c>
      <c r="E13" s="7" t="s">
        <v>29</v>
      </c>
      <c r="F13" s="7">
        <v>320</v>
      </c>
      <c r="G13" s="7">
        <v>9</v>
      </c>
      <c r="H13" s="7">
        <v>1</v>
      </c>
      <c r="I13" s="56">
        <v>678000</v>
      </c>
      <c r="J13" s="56" t="s">
        <v>110</v>
      </c>
      <c r="K13" s="57"/>
    </row>
    <row r="14" spans="2:11">
      <c r="B14" s="7" t="s">
        <v>10</v>
      </c>
      <c r="C14" s="7" t="s">
        <v>5</v>
      </c>
      <c r="D14" s="7" t="s">
        <v>91</v>
      </c>
      <c r="E14" s="7" t="s">
        <v>22</v>
      </c>
      <c r="F14" s="7">
        <v>160</v>
      </c>
      <c r="G14" s="7">
        <v>6</v>
      </c>
      <c r="H14" s="7">
        <v>4</v>
      </c>
      <c r="I14" s="56">
        <v>880000</v>
      </c>
      <c r="J14" s="56" t="s">
        <v>110</v>
      </c>
      <c r="K14" s="57"/>
    </row>
    <row r="15" spans="2:11">
      <c r="B15" s="7" t="s">
        <v>7</v>
      </c>
      <c r="C15" s="7" t="s">
        <v>4</v>
      </c>
      <c r="D15" s="7" t="s">
        <v>93</v>
      </c>
      <c r="E15" s="7" t="s">
        <v>24</v>
      </c>
      <c r="F15" s="7">
        <v>270</v>
      </c>
      <c r="G15" s="7">
        <v>9</v>
      </c>
      <c r="H15" s="7">
        <v>4</v>
      </c>
      <c r="I15" s="56">
        <v>1720000</v>
      </c>
      <c r="J15" s="56" t="s">
        <v>110</v>
      </c>
      <c r="K15" s="57"/>
    </row>
    <row r="16" spans="2:11">
      <c r="B16" s="7" t="s">
        <v>10</v>
      </c>
      <c r="C16" s="7" t="s">
        <v>4</v>
      </c>
      <c r="D16" s="7" t="s">
        <v>88</v>
      </c>
      <c r="E16" s="7" t="s">
        <v>19</v>
      </c>
      <c r="F16" s="7">
        <v>320</v>
      </c>
      <c r="G16" s="7">
        <v>7</v>
      </c>
      <c r="H16" s="7">
        <v>5</v>
      </c>
      <c r="I16" s="56">
        <v>1455000</v>
      </c>
      <c r="J16" s="56" t="s">
        <v>108</v>
      </c>
      <c r="K16" s="57"/>
    </row>
    <row r="17" spans="2:11">
      <c r="B17" s="7" t="s">
        <v>11</v>
      </c>
      <c r="C17" s="7" t="s">
        <v>5</v>
      </c>
      <c r="D17" s="7" t="s">
        <v>92</v>
      </c>
      <c r="E17" s="7" t="s">
        <v>23</v>
      </c>
      <c r="F17" s="7">
        <v>320</v>
      </c>
      <c r="G17" s="7">
        <v>7</v>
      </c>
      <c r="H17" s="7">
        <v>3</v>
      </c>
      <c r="I17" s="56">
        <v>1455000</v>
      </c>
      <c r="J17" s="56" t="s">
        <v>110</v>
      </c>
      <c r="K17" s="57"/>
    </row>
    <row r="18" spans="2:11">
      <c r="B18" s="7" t="s">
        <v>7</v>
      </c>
      <c r="C18" s="7" t="s">
        <v>6</v>
      </c>
      <c r="D18" s="7" t="s">
        <v>94</v>
      </c>
      <c r="E18" s="7" t="s">
        <v>25</v>
      </c>
      <c r="F18" s="7">
        <v>330</v>
      </c>
      <c r="G18" s="7">
        <v>7</v>
      </c>
      <c r="H18" s="7">
        <v>3</v>
      </c>
      <c r="I18" s="56">
        <v>1054000</v>
      </c>
      <c r="J18" s="56" t="s">
        <v>107</v>
      </c>
      <c r="K18" s="57"/>
    </row>
    <row r="19" spans="2:11">
      <c r="B19" s="7" t="s">
        <v>10</v>
      </c>
      <c r="C19" s="7" t="s">
        <v>6</v>
      </c>
      <c r="D19" s="7" t="s">
        <v>95</v>
      </c>
      <c r="E19" s="7" t="s">
        <v>26</v>
      </c>
      <c r="F19" s="7">
        <v>270</v>
      </c>
      <c r="G19" s="7">
        <v>6</v>
      </c>
      <c r="H19" s="7">
        <v>5</v>
      </c>
      <c r="I19" s="56">
        <v>890000</v>
      </c>
      <c r="J19" s="56" t="s">
        <v>110</v>
      </c>
      <c r="K19" s="57"/>
    </row>
    <row r="20" spans="2:11">
      <c r="B20" s="7" t="s">
        <v>11</v>
      </c>
      <c r="C20" s="7" t="s">
        <v>4</v>
      </c>
      <c r="D20" s="7" t="s">
        <v>96</v>
      </c>
      <c r="E20" s="7" t="s">
        <v>27</v>
      </c>
      <c r="F20" s="7">
        <v>320</v>
      </c>
      <c r="G20" s="7">
        <v>7</v>
      </c>
      <c r="H20" s="7">
        <v>2</v>
      </c>
      <c r="I20" s="56">
        <v>1645000</v>
      </c>
      <c r="J20" s="56" t="s">
        <v>107</v>
      </c>
      <c r="K20" s="57"/>
    </row>
    <row r="21" spans="2:11">
      <c r="B21" s="7" t="s">
        <v>9</v>
      </c>
      <c r="C21" s="7" t="s">
        <v>4</v>
      </c>
      <c r="D21" s="7" t="s">
        <v>97</v>
      </c>
      <c r="E21" s="7" t="s">
        <v>28</v>
      </c>
      <c r="F21" s="7">
        <v>160</v>
      </c>
      <c r="G21" s="7">
        <v>6</v>
      </c>
      <c r="H21" s="7">
        <v>9</v>
      </c>
      <c r="I21" s="56">
        <v>855000</v>
      </c>
      <c r="J21" s="56" t="s">
        <v>110</v>
      </c>
      <c r="K21" s="57"/>
    </row>
    <row r="22" spans="2:11">
      <c r="B22" s="7" t="s">
        <v>7</v>
      </c>
      <c r="C22" s="7" t="s">
        <v>5</v>
      </c>
      <c r="D22" s="7" t="s">
        <v>90</v>
      </c>
      <c r="E22" s="7" t="s">
        <v>21</v>
      </c>
      <c r="F22" s="7">
        <v>270</v>
      </c>
      <c r="G22" s="7">
        <v>8</v>
      </c>
      <c r="H22" s="7">
        <v>7</v>
      </c>
      <c r="I22" s="56">
        <v>1415000</v>
      </c>
      <c r="J22" s="56" t="s">
        <v>108</v>
      </c>
      <c r="K22" s="57"/>
    </row>
    <row r="23" spans="2:11">
      <c r="B23" s="7" t="s">
        <v>9</v>
      </c>
      <c r="C23" s="7" t="s">
        <v>5</v>
      </c>
      <c r="D23" s="7" t="s">
        <v>99</v>
      </c>
      <c r="E23" s="7" t="s">
        <v>30</v>
      </c>
      <c r="F23" s="7">
        <v>300</v>
      </c>
      <c r="G23" s="7">
        <v>2</v>
      </c>
      <c r="H23" s="7">
        <v>5</v>
      </c>
      <c r="I23" s="56">
        <v>1455000</v>
      </c>
      <c r="J23" s="56" t="s">
        <v>107</v>
      </c>
      <c r="K23" s="57"/>
    </row>
    <row r="24" spans="2:11">
      <c r="B24" s="7" t="s">
        <v>11</v>
      </c>
      <c r="C24" s="7" t="s">
        <v>6</v>
      </c>
      <c r="D24" s="7" t="s">
        <v>100</v>
      </c>
      <c r="E24" s="7" t="s">
        <v>31</v>
      </c>
      <c r="F24" s="7">
        <v>270</v>
      </c>
      <c r="G24" s="7">
        <v>5</v>
      </c>
      <c r="H24" s="7">
        <v>6</v>
      </c>
      <c r="I24" s="56">
        <v>115000</v>
      </c>
      <c r="J24" s="56" t="s">
        <v>107</v>
      </c>
      <c r="K24" s="57"/>
    </row>
    <row r="25" spans="2:11">
      <c r="B25" s="7" t="s">
        <v>11</v>
      </c>
      <c r="C25" s="7" t="s">
        <v>5</v>
      </c>
      <c r="D25" s="7" t="s">
        <v>101</v>
      </c>
      <c r="E25" s="7" t="s">
        <v>32</v>
      </c>
      <c r="F25" s="7">
        <v>320</v>
      </c>
      <c r="G25" s="7">
        <v>4</v>
      </c>
      <c r="H25" s="7">
        <v>4</v>
      </c>
      <c r="I25" s="56">
        <v>1395000</v>
      </c>
      <c r="J25" s="56" t="s">
        <v>110</v>
      </c>
      <c r="K25" s="57"/>
    </row>
    <row r="26" spans="2:11">
      <c r="B26" s="7" t="s">
        <v>7</v>
      </c>
      <c r="C26" s="7" t="s">
        <v>6</v>
      </c>
      <c r="D26" s="7" t="s">
        <v>102</v>
      </c>
      <c r="E26" s="7" t="s">
        <v>33</v>
      </c>
      <c r="F26" s="7">
        <v>350</v>
      </c>
      <c r="G26" s="7">
        <v>7</v>
      </c>
      <c r="H26" s="7">
        <v>3</v>
      </c>
      <c r="I26" s="56">
        <v>985000</v>
      </c>
      <c r="J26" s="56" t="s">
        <v>110</v>
      </c>
      <c r="K26" s="57"/>
    </row>
  </sheetData>
  <phoneticPr fontId="3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6"/>
  <sheetViews>
    <sheetView workbookViewId="0"/>
  </sheetViews>
  <sheetFormatPr defaultRowHeight="13.5"/>
  <cols>
    <col min="1" max="1" width="2" style="1" customWidth="1"/>
    <col min="2" max="2" width="8" style="1" bestFit="1" customWidth="1"/>
    <col min="3" max="3" width="9.25" style="1" bestFit="1" customWidth="1"/>
    <col min="4" max="4" width="8.375" style="1" customWidth="1"/>
    <col min="5" max="7" width="8" style="1" bestFit="1" customWidth="1"/>
    <col min="8" max="8" width="9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10">
      <c r="B1" s="1" t="s">
        <v>0</v>
      </c>
      <c r="E1" s="1" t="s">
        <v>103</v>
      </c>
      <c r="H1" s="1" t="s">
        <v>37</v>
      </c>
    </row>
    <row r="2" spans="2:10">
      <c r="B2" s="2" t="s">
        <v>115</v>
      </c>
      <c r="C2" s="3" t="s">
        <v>85</v>
      </c>
      <c r="E2" s="2" t="s">
        <v>114</v>
      </c>
      <c r="F2" s="3" t="s">
        <v>106</v>
      </c>
      <c r="H2" s="2" t="s">
        <v>112</v>
      </c>
      <c r="I2" s="3" t="s">
        <v>113</v>
      </c>
    </row>
    <row r="3" spans="2:10">
      <c r="B3" s="2" t="s">
        <v>7</v>
      </c>
      <c r="C3" s="4" t="str">
        <f t="array" ref="C3">INDEX($E$11:$E$26,MATCH(MAX(($B$11:$B$26=B3)*$G$11:$G$26),($B$11:$B$26=B3)*$G$11:$G$26,0))</f>
        <v>이상봉</v>
      </c>
      <c r="E3" s="2" t="s">
        <v>104</v>
      </c>
      <c r="F3" s="4" t="str">
        <f t="array" ref="F3">INDEX($D$11:$D$26,MATCH(MAX(($C$11:$C$26=E3)*$F$11:$F$26),($C$11:$C$26=E3)*$F$11:$F$26,0))</f>
        <v>BA-037</v>
      </c>
      <c r="H3" s="2" t="s">
        <v>107</v>
      </c>
      <c r="I3" s="4" t="str">
        <f t="array" ref="I3">INDEX($E$11:$E$26,MATCH(MAX(($J$11:$J$26=H3)*$I$11:$I$26),($J$11:$J$26=H3)*$I$11:$I$26,0))</f>
        <v>신경국</v>
      </c>
    </row>
    <row r="4" spans="2:10">
      <c r="B4" s="2" t="s">
        <v>9</v>
      </c>
      <c r="C4" s="4" t="str">
        <f t="array" ref="C4">INDEX($E$11:$E$26,MATCH(MAX(($B$11:$B$26=B4)*$G$11:$G$26),($B$11:$B$26=B4)*$G$11:$G$26,0))</f>
        <v>이원섭</v>
      </c>
      <c r="E4" s="2" t="s">
        <v>105</v>
      </c>
      <c r="F4" s="4" t="str">
        <f t="array" ref="F4">INDEX($D$11:$D$26,MATCH(MAX(($C$11:$C$26=E4)*$F$11:$F$26),($C$11:$C$26=E4)*$F$11:$F$26,0))</f>
        <v>SA-007</v>
      </c>
      <c r="H4" s="2" t="s">
        <v>110</v>
      </c>
      <c r="I4" s="4" t="str">
        <f t="array" ref="I4">INDEX($E$11:$E$26,MATCH(MAX(($J$11:$J$26=H4)*$I$11:$I$26),($J$11:$J$26=H4)*$I$11:$I$26,0))</f>
        <v>이상봉</v>
      </c>
    </row>
    <row r="5" spans="2:10">
      <c r="B5" s="2" t="s">
        <v>10</v>
      </c>
      <c r="C5" s="4" t="str">
        <f t="array" ref="C5">INDEX($E$11:$E$26,MATCH(MAX(($B$11:$B$26=B5)*$G$11:$G$26),($B$11:$B$26=B5)*$G$11:$G$26,0))</f>
        <v>인정제</v>
      </c>
      <c r="E5" s="2" t="s">
        <v>6</v>
      </c>
      <c r="F5" s="4" t="str">
        <f t="array" ref="F5">INDEX($D$11:$D$26,MATCH(MAX(($C$11:$C$26=E5)*$F$11:$F$26),($C$11:$C$26=E5)*$F$11:$F$26,0))</f>
        <v>BA-011</v>
      </c>
    </row>
    <row r="6" spans="2:10">
      <c r="B6" s="2" t="s">
        <v>11</v>
      </c>
      <c r="C6" s="4" t="str">
        <f t="array" ref="C6">INDEX($E$11:$E$26,MATCH(MAX(($B$11:$B$26=B6)*$G$11:$G$26),($B$11:$B$26=B6)*$G$11:$G$26,0))</f>
        <v>방극준</v>
      </c>
    </row>
    <row r="8" spans="2:10">
      <c r="F8" s="6"/>
      <c r="G8" s="5"/>
      <c r="H8" s="5"/>
      <c r="I8" s="5"/>
    </row>
    <row r="9" spans="2:10">
      <c r="B9" s="1" t="s">
        <v>1</v>
      </c>
    </row>
    <row r="10" spans="2:10">
      <c r="B10" s="2" t="s">
        <v>15</v>
      </c>
      <c r="C10" s="2" t="s">
        <v>8</v>
      </c>
      <c r="D10" s="2" t="s">
        <v>86</v>
      </c>
      <c r="E10" s="2" t="s">
        <v>14</v>
      </c>
      <c r="F10" s="2" t="s">
        <v>16</v>
      </c>
      <c r="G10" s="2" t="s">
        <v>12</v>
      </c>
      <c r="H10" s="2" t="s">
        <v>13</v>
      </c>
      <c r="I10" s="7" t="s">
        <v>17</v>
      </c>
      <c r="J10" s="7" t="s">
        <v>111</v>
      </c>
    </row>
    <row r="11" spans="2:10">
      <c r="B11" s="7" t="s">
        <v>7</v>
      </c>
      <c r="C11" s="7" t="s">
        <v>4</v>
      </c>
      <c r="D11" s="7" t="s">
        <v>87</v>
      </c>
      <c r="E11" s="7" t="s">
        <v>18</v>
      </c>
      <c r="F11" s="7">
        <v>250</v>
      </c>
      <c r="G11" s="7">
        <v>4</v>
      </c>
      <c r="H11" s="7">
        <v>1</v>
      </c>
      <c r="I11" s="56">
        <v>1530000</v>
      </c>
      <c r="J11" s="56" t="s">
        <v>107</v>
      </c>
    </row>
    <row r="12" spans="2:10">
      <c r="B12" s="7" t="s">
        <v>9</v>
      </c>
      <c r="C12" s="7" t="s">
        <v>4</v>
      </c>
      <c r="D12" s="7" t="s">
        <v>89</v>
      </c>
      <c r="E12" s="7" t="s">
        <v>20</v>
      </c>
      <c r="F12" s="7">
        <v>270</v>
      </c>
      <c r="G12" s="7">
        <v>11</v>
      </c>
      <c r="H12" s="7">
        <v>6</v>
      </c>
      <c r="I12" s="56">
        <v>1570000</v>
      </c>
      <c r="J12" s="56" t="s">
        <v>109</v>
      </c>
    </row>
    <row r="13" spans="2:10">
      <c r="B13" s="7" t="s">
        <v>9</v>
      </c>
      <c r="C13" s="7" t="s">
        <v>6</v>
      </c>
      <c r="D13" s="7" t="s">
        <v>98</v>
      </c>
      <c r="E13" s="7" t="s">
        <v>29</v>
      </c>
      <c r="F13" s="7">
        <v>320</v>
      </c>
      <c r="G13" s="7">
        <v>9</v>
      </c>
      <c r="H13" s="7">
        <v>1</v>
      </c>
      <c r="I13" s="56">
        <v>678000</v>
      </c>
      <c r="J13" s="56" t="s">
        <v>109</v>
      </c>
    </row>
    <row r="14" spans="2:10">
      <c r="B14" s="7" t="s">
        <v>10</v>
      </c>
      <c r="C14" s="7" t="s">
        <v>5</v>
      </c>
      <c r="D14" s="7" t="s">
        <v>91</v>
      </c>
      <c r="E14" s="7" t="s">
        <v>22</v>
      </c>
      <c r="F14" s="7">
        <v>160</v>
      </c>
      <c r="G14" s="7">
        <v>6</v>
      </c>
      <c r="H14" s="7">
        <v>4</v>
      </c>
      <c r="I14" s="56">
        <v>880000</v>
      </c>
      <c r="J14" s="56" t="s">
        <v>109</v>
      </c>
    </row>
    <row r="15" spans="2:10">
      <c r="B15" s="7" t="s">
        <v>7</v>
      </c>
      <c r="C15" s="7" t="s">
        <v>4</v>
      </c>
      <c r="D15" s="7" t="s">
        <v>93</v>
      </c>
      <c r="E15" s="7" t="s">
        <v>24</v>
      </c>
      <c r="F15" s="7">
        <v>270</v>
      </c>
      <c r="G15" s="7">
        <v>9</v>
      </c>
      <c r="H15" s="7">
        <v>4</v>
      </c>
      <c r="I15" s="56">
        <v>1720000</v>
      </c>
      <c r="J15" s="56" t="s">
        <v>109</v>
      </c>
    </row>
    <row r="16" spans="2:10">
      <c r="B16" s="7" t="s">
        <v>10</v>
      </c>
      <c r="C16" s="7" t="s">
        <v>4</v>
      </c>
      <c r="D16" s="7" t="s">
        <v>88</v>
      </c>
      <c r="E16" s="7" t="s">
        <v>19</v>
      </c>
      <c r="F16" s="7">
        <v>320</v>
      </c>
      <c r="G16" s="7">
        <v>7</v>
      </c>
      <c r="H16" s="7">
        <v>5</v>
      </c>
      <c r="I16" s="56">
        <v>1455000</v>
      </c>
      <c r="J16" s="56" t="s">
        <v>107</v>
      </c>
    </row>
    <row r="17" spans="2:10">
      <c r="B17" s="7" t="s">
        <v>11</v>
      </c>
      <c r="C17" s="7" t="s">
        <v>5</v>
      </c>
      <c r="D17" s="7" t="s">
        <v>92</v>
      </c>
      <c r="E17" s="7" t="s">
        <v>23</v>
      </c>
      <c r="F17" s="7">
        <v>320</v>
      </c>
      <c r="G17" s="7">
        <v>7</v>
      </c>
      <c r="H17" s="7">
        <v>3</v>
      </c>
      <c r="I17" s="56">
        <v>1455000</v>
      </c>
      <c r="J17" s="56" t="s">
        <v>109</v>
      </c>
    </row>
    <row r="18" spans="2:10">
      <c r="B18" s="7" t="s">
        <v>7</v>
      </c>
      <c r="C18" s="7" t="s">
        <v>6</v>
      </c>
      <c r="D18" s="7" t="s">
        <v>94</v>
      </c>
      <c r="E18" s="7" t="s">
        <v>25</v>
      </c>
      <c r="F18" s="7">
        <v>330</v>
      </c>
      <c r="G18" s="7">
        <v>7</v>
      </c>
      <c r="H18" s="7">
        <v>3</v>
      </c>
      <c r="I18" s="56">
        <v>1054000</v>
      </c>
      <c r="J18" s="56" t="s">
        <v>107</v>
      </c>
    </row>
    <row r="19" spans="2:10">
      <c r="B19" s="7" t="s">
        <v>10</v>
      </c>
      <c r="C19" s="7" t="s">
        <v>6</v>
      </c>
      <c r="D19" s="7" t="s">
        <v>95</v>
      </c>
      <c r="E19" s="7" t="s">
        <v>26</v>
      </c>
      <c r="F19" s="7">
        <v>270</v>
      </c>
      <c r="G19" s="7">
        <v>6</v>
      </c>
      <c r="H19" s="7">
        <v>5</v>
      </c>
      <c r="I19" s="56">
        <v>890000</v>
      </c>
      <c r="J19" s="56" t="s">
        <v>109</v>
      </c>
    </row>
    <row r="20" spans="2:10">
      <c r="B20" s="7" t="s">
        <v>11</v>
      </c>
      <c r="C20" s="7" t="s">
        <v>4</v>
      </c>
      <c r="D20" s="7" t="s">
        <v>96</v>
      </c>
      <c r="E20" s="7" t="s">
        <v>27</v>
      </c>
      <c r="F20" s="7">
        <v>320</v>
      </c>
      <c r="G20" s="7">
        <v>7</v>
      </c>
      <c r="H20" s="7">
        <v>2</v>
      </c>
      <c r="I20" s="56">
        <v>1645000</v>
      </c>
      <c r="J20" s="56" t="s">
        <v>107</v>
      </c>
    </row>
    <row r="21" spans="2:10">
      <c r="B21" s="7" t="s">
        <v>9</v>
      </c>
      <c r="C21" s="7" t="s">
        <v>4</v>
      </c>
      <c r="D21" s="7" t="s">
        <v>97</v>
      </c>
      <c r="E21" s="7" t="s">
        <v>28</v>
      </c>
      <c r="F21" s="7">
        <v>160</v>
      </c>
      <c r="G21" s="7">
        <v>6</v>
      </c>
      <c r="H21" s="7">
        <v>9</v>
      </c>
      <c r="I21" s="56">
        <v>855000</v>
      </c>
      <c r="J21" s="56" t="s">
        <v>109</v>
      </c>
    </row>
    <row r="22" spans="2:10">
      <c r="B22" s="7" t="s">
        <v>7</v>
      </c>
      <c r="C22" s="7" t="s">
        <v>5</v>
      </c>
      <c r="D22" s="7" t="s">
        <v>90</v>
      </c>
      <c r="E22" s="7" t="s">
        <v>21</v>
      </c>
      <c r="F22" s="7">
        <v>270</v>
      </c>
      <c r="G22" s="7">
        <v>8</v>
      </c>
      <c r="H22" s="7">
        <v>7</v>
      </c>
      <c r="I22" s="56">
        <v>1415000</v>
      </c>
      <c r="J22" s="56" t="s">
        <v>107</v>
      </c>
    </row>
    <row r="23" spans="2:10">
      <c r="B23" s="7" t="s">
        <v>9</v>
      </c>
      <c r="C23" s="7" t="s">
        <v>5</v>
      </c>
      <c r="D23" s="7" t="s">
        <v>99</v>
      </c>
      <c r="E23" s="7" t="s">
        <v>30</v>
      </c>
      <c r="F23" s="7">
        <v>300</v>
      </c>
      <c r="G23" s="7">
        <v>2</v>
      </c>
      <c r="H23" s="7">
        <v>5</v>
      </c>
      <c r="I23" s="56">
        <v>1455000</v>
      </c>
      <c r="J23" s="56" t="s">
        <v>107</v>
      </c>
    </row>
    <row r="24" spans="2:10">
      <c r="B24" s="7" t="s">
        <v>11</v>
      </c>
      <c r="C24" s="7" t="s">
        <v>6</v>
      </c>
      <c r="D24" s="7" t="s">
        <v>100</v>
      </c>
      <c r="E24" s="7" t="s">
        <v>31</v>
      </c>
      <c r="F24" s="7">
        <v>270</v>
      </c>
      <c r="G24" s="7">
        <v>5</v>
      </c>
      <c r="H24" s="7">
        <v>6</v>
      </c>
      <c r="I24" s="56">
        <v>115000</v>
      </c>
      <c r="J24" s="56" t="s">
        <v>107</v>
      </c>
    </row>
    <row r="25" spans="2:10">
      <c r="B25" s="7" t="s">
        <v>11</v>
      </c>
      <c r="C25" s="7" t="s">
        <v>5</v>
      </c>
      <c r="D25" s="7" t="s">
        <v>101</v>
      </c>
      <c r="E25" s="7" t="s">
        <v>32</v>
      </c>
      <c r="F25" s="7">
        <v>320</v>
      </c>
      <c r="G25" s="7">
        <v>4</v>
      </c>
      <c r="H25" s="7">
        <v>4</v>
      </c>
      <c r="I25" s="56">
        <v>1395000</v>
      </c>
      <c r="J25" s="56" t="s">
        <v>109</v>
      </c>
    </row>
    <row r="26" spans="2:10">
      <c r="B26" s="7" t="s">
        <v>7</v>
      </c>
      <c r="C26" s="7" t="s">
        <v>6</v>
      </c>
      <c r="D26" s="7" t="s">
        <v>102</v>
      </c>
      <c r="E26" s="7" t="s">
        <v>33</v>
      </c>
      <c r="F26" s="7">
        <v>350</v>
      </c>
      <c r="G26" s="7">
        <v>7</v>
      </c>
      <c r="H26" s="7">
        <v>3</v>
      </c>
      <c r="I26" s="56">
        <v>985000</v>
      </c>
      <c r="J26" s="56" t="s">
        <v>109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99"/>
  </sheetPr>
  <dimension ref="B1:J27"/>
  <sheetViews>
    <sheetView workbookViewId="0"/>
  </sheetViews>
  <sheetFormatPr defaultRowHeight="16.5"/>
  <cols>
    <col min="1" max="1" width="1.5" style="9" customWidth="1"/>
    <col min="2" max="2" width="8" style="9" bestFit="1" customWidth="1"/>
    <col min="3" max="3" width="11.375" style="9" customWidth="1"/>
    <col min="4" max="4" width="8.125" style="9" customWidth="1"/>
    <col min="5" max="5" width="8" style="9" bestFit="1" customWidth="1"/>
    <col min="6" max="6" width="11.5" style="9" bestFit="1" customWidth="1"/>
    <col min="7" max="7" width="9.625" style="9" bestFit="1" customWidth="1"/>
    <col min="8" max="8" width="10.5" style="9" bestFit="1" customWidth="1"/>
    <col min="9" max="9" width="10.25" style="9" bestFit="1" customWidth="1"/>
    <col min="10" max="10" width="13.375" style="9" customWidth="1"/>
    <col min="11" max="11" width="10.75" style="9" bestFit="1" customWidth="1"/>
    <col min="12" max="16384" width="9" style="9"/>
  </cols>
  <sheetData>
    <row r="1" spans="2:10">
      <c r="B1" s="8" t="s">
        <v>34</v>
      </c>
      <c r="D1" s="8"/>
      <c r="E1" s="8" t="s">
        <v>52</v>
      </c>
      <c r="H1" s="8" t="s">
        <v>70</v>
      </c>
    </row>
    <row r="2" spans="2:10" ht="16.5" customHeight="1">
      <c r="B2" s="13" t="s">
        <v>71</v>
      </c>
      <c r="C2" s="12" t="s">
        <v>69</v>
      </c>
      <c r="E2" s="11" t="s">
        <v>53</v>
      </c>
      <c r="F2" s="12" t="s">
        <v>51</v>
      </c>
      <c r="H2" s="13" t="s">
        <v>79</v>
      </c>
      <c r="I2" s="12" t="s">
        <v>69</v>
      </c>
    </row>
    <row r="3" spans="2:10">
      <c r="B3" s="13" t="s">
        <v>55</v>
      </c>
      <c r="C3" s="16"/>
      <c r="D3" s="15"/>
      <c r="E3" s="13" t="s">
        <v>49</v>
      </c>
      <c r="F3" s="14"/>
      <c r="H3" s="13" t="s">
        <v>80</v>
      </c>
      <c r="I3" s="16"/>
    </row>
    <row r="4" spans="2:10">
      <c r="B4" s="13" t="s">
        <v>54</v>
      </c>
      <c r="C4" s="16"/>
      <c r="E4" s="13" t="s">
        <v>50</v>
      </c>
      <c r="F4" s="14"/>
      <c r="H4" s="13" t="s">
        <v>81</v>
      </c>
      <c r="I4" s="16"/>
    </row>
    <row r="5" spans="2:10">
      <c r="D5" s="17"/>
      <c r="H5" s="13" t="s">
        <v>82</v>
      </c>
      <c r="I5" s="32"/>
    </row>
    <row r="6" spans="2:10">
      <c r="H6" s="13" t="s">
        <v>83</v>
      </c>
      <c r="I6" s="32"/>
    </row>
    <row r="7" spans="2:10">
      <c r="H7" s="33"/>
      <c r="I7" s="34"/>
    </row>
    <row r="8" spans="2:10" ht="17.25" thickBot="1">
      <c r="B8" s="8" t="s">
        <v>40</v>
      </c>
      <c r="C8" s="10"/>
      <c r="D8" s="10"/>
      <c r="E8" s="17"/>
      <c r="F8" s="17"/>
      <c r="G8" s="10"/>
      <c r="H8" s="10"/>
      <c r="I8" s="8"/>
      <c r="J8" s="8"/>
    </row>
    <row r="9" spans="2:10" ht="17.25" thickBot="1">
      <c r="B9" s="18" t="s">
        <v>51</v>
      </c>
      <c r="C9" s="19" t="s">
        <v>41</v>
      </c>
      <c r="D9" s="19" t="s">
        <v>57</v>
      </c>
      <c r="E9" s="19" t="s">
        <v>74</v>
      </c>
      <c r="F9" s="19" t="s">
        <v>42</v>
      </c>
      <c r="G9" s="19" t="s">
        <v>73</v>
      </c>
      <c r="H9" s="19" t="s">
        <v>84</v>
      </c>
      <c r="I9" s="20" t="s">
        <v>72</v>
      </c>
    </row>
    <row r="10" spans="2:10">
      <c r="B10" s="21" t="s">
        <v>43</v>
      </c>
      <c r="C10" s="22" t="s">
        <v>36</v>
      </c>
      <c r="D10" s="22" t="s">
        <v>58</v>
      </c>
      <c r="E10" s="22" t="s">
        <v>75</v>
      </c>
      <c r="F10" s="23">
        <v>15000000</v>
      </c>
      <c r="G10" s="23">
        <v>2210000</v>
      </c>
      <c r="H10" s="23">
        <f>(F10-G10)*0.3</f>
        <v>3837000</v>
      </c>
      <c r="I10" s="24" t="s">
        <v>38</v>
      </c>
    </row>
    <row r="11" spans="2:10">
      <c r="B11" s="25" t="s">
        <v>43</v>
      </c>
      <c r="C11" s="26" t="s">
        <v>35</v>
      </c>
      <c r="D11" s="26" t="s">
        <v>59</v>
      </c>
      <c r="E11" s="26" t="s">
        <v>76</v>
      </c>
      <c r="F11" s="4">
        <v>13000000</v>
      </c>
      <c r="G11" s="4">
        <v>3113000</v>
      </c>
      <c r="H11" s="23">
        <f t="shared" ref="H11:H21" si="0">(F11-G11)*0.3</f>
        <v>2966100</v>
      </c>
      <c r="I11" s="24" t="s">
        <v>2</v>
      </c>
    </row>
    <row r="12" spans="2:10">
      <c r="B12" s="25" t="s">
        <v>44</v>
      </c>
      <c r="C12" s="26" t="s">
        <v>36</v>
      </c>
      <c r="D12" s="26" t="s">
        <v>60</v>
      </c>
      <c r="E12" s="26" t="s">
        <v>75</v>
      </c>
      <c r="F12" s="4">
        <v>11000000</v>
      </c>
      <c r="G12" s="4">
        <v>6816000</v>
      </c>
      <c r="H12" s="23">
        <f t="shared" si="0"/>
        <v>1255200</v>
      </c>
      <c r="I12" s="24" t="s">
        <v>39</v>
      </c>
    </row>
    <row r="13" spans="2:10">
      <c r="B13" s="25" t="s">
        <v>44</v>
      </c>
      <c r="C13" s="26" t="s">
        <v>35</v>
      </c>
      <c r="D13" s="26" t="s">
        <v>56</v>
      </c>
      <c r="E13" s="26" t="s">
        <v>77</v>
      </c>
      <c r="F13" s="4">
        <v>12000000</v>
      </c>
      <c r="G13" s="4">
        <v>7891000</v>
      </c>
      <c r="H13" s="23">
        <f t="shared" si="0"/>
        <v>1232700</v>
      </c>
      <c r="I13" s="24" t="s">
        <v>2</v>
      </c>
    </row>
    <row r="14" spans="2:10">
      <c r="B14" s="25" t="s">
        <v>45</v>
      </c>
      <c r="C14" s="26" t="s">
        <v>36</v>
      </c>
      <c r="D14" s="26" t="s">
        <v>61</v>
      </c>
      <c r="E14" s="26" t="s">
        <v>78</v>
      </c>
      <c r="F14" s="4">
        <v>11000000</v>
      </c>
      <c r="G14" s="4">
        <v>1200000</v>
      </c>
      <c r="H14" s="23">
        <f t="shared" si="0"/>
        <v>2940000</v>
      </c>
      <c r="I14" s="24" t="s">
        <v>2</v>
      </c>
    </row>
    <row r="15" spans="2:10">
      <c r="B15" s="25" t="s">
        <v>45</v>
      </c>
      <c r="C15" s="26" t="s">
        <v>35</v>
      </c>
      <c r="D15" s="26" t="s">
        <v>62</v>
      </c>
      <c r="E15" s="26" t="s">
        <v>77</v>
      </c>
      <c r="F15" s="4">
        <v>14000000</v>
      </c>
      <c r="G15" s="4">
        <v>2800000</v>
      </c>
      <c r="H15" s="23">
        <f t="shared" si="0"/>
        <v>3360000</v>
      </c>
      <c r="I15" s="24" t="s">
        <v>3</v>
      </c>
    </row>
    <row r="16" spans="2:10">
      <c r="B16" s="25" t="s">
        <v>46</v>
      </c>
      <c r="C16" s="26" t="s">
        <v>36</v>
      </c>
      <c r="D16" s="26" t="s">
        <v>63</v>
      </c>
      <c r="E16" s="26" t="s">
        <v>75</v>
      </c>
      <c r="F16" s="4">
        <v>13000000</v>
      </c>
      <c r="G16" s="4">
        <v>5020000</v>
      </c>
      <c r="H16" s="23">
        <f t="shared" si="0"/>
        <v>2394000</v>
      </c>
      <c r="I16" s="24" t="s">
        <v>3</v>
      </c>
    </row>
    <row r="17" spans="2:9">
      <c r="B17" s="25" t="s">
        <v>46</v>
      </c>
      <c r="C17" s="26" t="s">
        <v>35</v>
      </c>
      <c r="D17" s="26" t="s">
        <v>64</v>
      </c>
      <c r="E17" s="26" t="s">
        <v>76</v>
      </c>
      <c r="F17" s="4">
        <v>34000000</v>
      </c>
      <c r="G17" s="4">
        <v>7000000</v>
      </c>
      <c r="H17" s="23">
        <f t="shared" si="0"/>
        <v>8100000</v>
      </c>
      <c r="I17" s="24" t="s">
        <v>39</v>
      </c>
    </row>
    <row r="18" spans="2:9">
      <c r="B18" s="25" t="s">
        <v>47</v>
      </c>
      <c r="C18" s="26" t="s">
        <v>36</v>
      </c>
      <c r="D18" s="26" t="s">
        <v>65</v>
      </c>
      <c r="E18" s="26" t="s">
        <v>78</v>
      </c>
      <c r="F18" s="4">
        <v>13000000</v>
      </c>
      <c r="G18" s="4">
        <v>2000000</v>
      </c>
      <c r="H18" s="23">
        <f t="shared" si="0"/>
        <v>3300000</v>
      </c>
      <c r="I18" s="24" t="s">
        <v>38</v>
      </c>
    </row>
    <row r="19" spans="2:9">
      <c r="B19" s="25" t="s">
        <v>47</v>
      </c>
      <c r="C19" s="26" t="s">
        <v>35</v>
      </c>
      <c r="D19" s="26" t="s">
        <v>66</v>
      </c>
      <c r="E19" s="26" t="s">
        <v>76</v>
      </c>
      <c r="F19" s="4">
        <v>19000000</v>
      </c>
      <c r="G19" s="4">
        <v>4125000</v>
      </c>
      <c r="H19" s="23">
        <f t="shared" si="0"/>
        <v>4462500</v>
      </c>
      <c r="I19" s="24" t="s">
        <v>39</v>
      </c>
    </row>
    <row r="20" spans="2:9">
      <c r="B20" s="25" t="s">
        <v>48</v>
      </c>
      <c r="C20" s="26" t="s">
        <v>36</v>
      </c>
      <c r="D20" s="26" t="s">
        <v>67</v>
      </c>
      <c r="E20" s="26" t="s">
        <v>76</v>
      </c>
      <c r="F20" s="4">
        <v>15000000</v>
      </c>
      <c r="G20" s="4">
        <v>4897000</v>
      </c>
      <c r="H20" s="23">
        <f t="shared" si="0"/>
        <v>3030900</v>
      </c>
      <c r="I20" s="24" t="s">
        <v>2</v>
      </c>
    </row>
    <row r="21" spans="2:9" ht="17.25" thickBot="1">
      <c r="B21" s="27" t="s">
        <v>48</v>
      </c>
      <c r="C21" s="28" t="s">
        <v>35</v>
      </c>
      <c r="D21" s="28" t="s">
        <v>68</v>
      </c>
      <c r="E21" s="28" t="s">
        <v>77</v>
      </c>
      <c r="F21" s="29">
        <v>13000000</v>
      </c>
      <c r="G21" s="29">
        <v>6848000</v>
      </c>
      <c r="H21" s="23">
        <f t="shared" si="0"/>
        <v>1845600</v>
      </c>
      <c r="I21" s="30" t="s">
        <v>3</v>
      </c>
    </row>
    <row r="26" spans="2:9">
      <c r="F26" s="31"/>
      <c r="G26" s="31"/>
    </row>
    <row r="27" spans="2:9">
      <c r="F27" s="31"/>
    </row>
  </sheetData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7"/>
  <sheetViews>
    <sheetView workbookViewId="0"/>
  </sheetViews>
  <sheetFormatPr defaultRowHeight="16.5"/>
  <cols>
    <col min="1" max="1" width="1.5" style="9" customWidth="1"/>
    <col min="2" max="2" width="8" style="9" bestFit="1" customWidth="1"/>
    <col min="3" max="3" width="11.375" style="9" customWidth="1"/>
    <col min="4" max="4" width="8.125" style="9" customWidth="1"/>
    <col min="5" max="5" width="8" style="9" bestFit="1" customWidth="1"/>
    <col min="6" max="6" width="11.5" style="9" bestFit="1" customWidth="1"/>
    <col min="7" max="7" width="9.625" style="9" bestFit="1" customWidth="1"/>
    <col min="8" max="8" width="10.5" style="9" bestFit="1" customWidth="1"/>
    <col min="9" max="9" width="10.25" style="9" bestFit="1" customWidth="1"/>
    <col min="10" max="10" width="13.375" style="9" customWidth="1"/>
    <col min="11" max="11" width="10.75" style="9" bestFit="1" customWidth="1"/>
    <col min="12" max="16384" width="9" style="9"/>
  </cols>
  <sheetData>
    <row r="1" spans="2:10">
      <c r="B1" s="8" t="s">
        <v>34</v>
      </c>
      <c r="D1" s="8"/>
      <c r="E1" s="8" t="s">
        <v>52</v>
      </c>
      <c r="H1" s="8" t="s">
        <v>70</v>
      </c>
    </row>
    <row r="2" spans="2:10" ht="16.5" customHeight="1">
      <c r="B2" s="13" t="s">
        <v>71</v>
      </c>
      <c r="C2" s="12" t="s">
        <v>69</v>
      </c>
      <c r="E2" s="11" t="s">
        <v>53</v>
      </c>
      <c r="F2" s="12" t="s">
        <v>51</v>
      </c>
      <c r="H2" s="13" t="s">
        <v>79</v>
      </c>
      <c r="I2" s="12" t="s">
        <v>69</v>
      </c>
    </row>
    <row r="3" spans="2:10">
      <c r="B3" s="13" t="s">
        <v>55</v>
      </c>
      <c r="C3" s="16" t="str">
        <f t="array" ref="C3">INDEX($D$10:$D$21,MATCH(MAX(($I$10:$I$21=B3)*$G$10:$G$21),($I$10:$I$21=B3)*$G$10:$G$21,0))</f>
        <v>도충선</v>
      </c>
      <c r="D3" s="15"/>
      <c r="E3" s="13" t="s">
        <v>49</v>
      </c>
      <c r="F3" s="4" t="str">
        <f t="array" ref="F3">INDEX($B$10:$B$21,MATCH(LARGE(($C$10:$C$21=E3)*$F$10:$F$21,2),($C$10:$C$21=E3)*$F$10:$F$21,0))</f>
        <v>인천1팀</v>
      </c>
      <c r="H3" s="13" t="s">
        <v>80</v>
      </c>
      <c r="I3" s="16" t="str">
        <f t="array" ref="I3">INDEX($D$10:$D$21,MATCH(LARGE(($E$10:$E$21=H3)*$H$10:$H$21,2),($E$10:$E$21=H3)*$H$10:$H$21,0))</f>
        <v>유제관</v>
      </c>
    </row>
    <row r="4" spans="2:10">
      <c r="B4" s="13" t="s">
        <v>54</v>
      </c>
      <c r="C4" s="16" t="str">
        <f t="array" ref="C4">INDEX($D$10:$D$21,MATCH(MAX(($I$10:$I$21=B4)*$G$10:$G$21),($I$10:$I$21=B4)*$G$10:$G$21,0))</f>
        <v>김병열</v>
      </c>
      <c r="E4" s="13" t="s">
        <v>50</v>
      </c>
      <c r="F4" s="4" t="str">
        <f t="array" ref="F4">INDEX($B$10:$B$21,MATCH(LARGE(($C$10:$C$21=E4)*$F$10:$F$21,2),($C$10:$C$21=E4)*$F$10:$F$21,0))</f>
        <v>과천1팀</v>
      </c>
      <c r="H4" s="13" t="s">
        <v>81</v>
      </c>
      <c r="I4" s="16" t="str">
        <f t="array" ref="I4">INDEX($D$10:$D$21,MATCH(LARGE(($E$10:$E$21=H4)*$H$10:$H$21,2),($E$10:$E$21=H4)*$H$10:$H$21,0))</f>
        <v>김수지</v>
      </c>
    </row>
    <row r="5" spans="2:10">
      <c r="D5" s="17"/>
      <c r="H5" s="13" t="s">
        <v>82</v>
      </c>
      <c r="I5" s="16" t="str">
        <f t="array" ref="I5">INDEX($D$10:$D$21,MATCH(LARGE(($E$10:$E$21=H5)*$H$10:$H$21,2),($E$10:$E$21=H5)*$H$10:$H$21,0))</f>
        <v>백준걸</v>
      </c>
    </row>
    <row r="6" spans="2:10">
      <c r="H6" s="13" t="s">
        <v>83</v>
      </c>
      <c r="I6" s="16" t="str">
        <f t="array" ref="I6">INDEX($D$10:$D$21,MATCH(LARGE(($E$10:$E$21=H6)*$H$10:$H$21,2),($E$10:$E$21=H6)*$H$10:$H$21,0))</f>
        <v>김영희</v>
      </c>
    </row>
    <row r="7" spans="2:10">
      <c r="H7" s="33"/>
      <c r="I7" s="34"/>
    </row>
    <row r="8" spans="2:10" ht="17.25" thickBot="1">
      <c r="B8" s="8" t="s">
        <v>40</v>
      </c>
      <c r="C8" s="10"/>
      <c r="D8" s="10"/>
      <c r="E8" s="17"/>
      <c r="F8" s="17"/>
      <c r="G8" s="10"/>
      <c r="H8" s="10"/>
      <c r="I8" s="8"/>
      <c r="J8" s="8"/>
    </row>
    <row r="9" spans="2:10" ht="17.25" thickBot="1">
      <c r="B9" s="18" t="s">
        <v>51</v>
      </c>
      <c r="C9" s="19" t="s">
        <v>41</v>
      </c>
      <c r="D9" s="19" t="s">
        <v>57</v>
      </c>
      <c r="E9" s="19" t="s">
        <v>74</v>
      </c>
      <c r="F9" s="19" t="s">
        <v>42</v>
      </c>
      <c r="G9" s="19" t="s">
        <v>73</v>
      </c>
      <c r="H9" s="19" t="s">
        <v>84</v>
      </c>
      <c r="I9" s="20" t="s">
        <v>72</v>
      </c>
    </row>
    <row r="10" spans="2:10">
      <c r="B10" s="21" t="s">
        <v>43</v>
      </c>
      <c r="C10" s="22" t="s">
        <v>36</v>
      </c>
      <c r="D10" s="22" t="s">
        <v>58</v>
      </c>
      <c r="E10" s="22" t="s">
        <v>75</v>
      </c>
      <c r="F10" s="23">
        <v>15000000</v>
      </c>
      <c r="G10" s="23">
        <v>2210000</v>
      </c>
      <c r="H10" s="23">
        <f>(F10-G10)*0.3</f>
        <v>3837000</v>
      </c>
      <c r="I10" s="24" t="s">
        <v>38</v>
      </c>
    </row>
    <row r="11" spans="2:10">
      <c r="B11" s="25" t="s">
        <v>43</v>
      </c>
      <c r="C11" s="26" t="s">
        <v>35</v>
      </c>
      <c r="D11" s="26" t="s">
        <v>59</v>
      </c>
      <c r="E11" s="26" t="s">
        <v>76</v>
      </c>
      <c r="F11" s="4">
        <v>13000000</v>
      </c>
      <c r="G11" s="4">
        <v>3113000</v>
      </c>
      <c r="H11" s="23">
        <f t="shared" ref="H11:H21" si="0">(F11-G11)*0.3</f>
        <v>2966100</v>
      </c>
      <c r="I11" s="24" t="s">
        <v>2</v>
      </c>
    </row>
    <row r="12" spans="2:10">
      <c r="B12" s="25" t="s">
        <v>44</v>
      </c>
      <c r="C12" s="26" t="s">
        <v>36</v>
      </c>
      <c r="D12" s="26" t="s">
        <v>60</v>
      </c>
      <c r="E12" s="26" t="s">
        <v>75</v>
      </c>
      <c r="F12" s="4">
        <v>11000000</v>
      </c>
      <c r="G12" s="4">
        <v>6816000</v>
      </c>
      <c r="H12" s="23">
        <f t="shared" si="0"/>
        <v>1255200</v>
      </c>
      <c r="I12" s="24" t="s">
        <v>39</v>
      </c>
    </row>
    <row r="13" spans="2:10">
      <c r="B13" s="25" t="s">
        <v>44</v>
      </c>
      <c r="C13" s="26" t="s">
        <v>35</v>
      </c>
      <c r="D13" s="26" t="s">
        <v>56</v>
      </c>
      <c r="E13" s="26" t="s">
        <v>77</v>
      </c>
      <c r="F13" s="4">
        <v>12000000</v>
      </c>
      <c r="G13" s="4">
        <v>7891000</v>
      </c>
      <c r="H13" s="23">
        <f t="shared" si="0"/>
        <v>1232700</v>
      </c>
      <c r="I13" s="24" t="s">
        <v>2</v>
      </c>
    </row>
    <row r="14" spans="2:10">
      <c r="B14" s="25" t="s">
        <v>45</v>
      </c>
      <c r="C14" s="26" t="s">
        <v>36</v>
      </c>
      <c r="D14" s="26" t="s">
        <v>61</v>
      </c>
      <c r="E14" s="26" t="s">
        <v>78</v>
      </c>
      <c r="F14" s="4">
        <v>11000000</v>
      </c>
      <c r="G14" s="4">
        <v>1200000</v>
      </c>
      <c r="H14" s="23">
        <f t="shared" si="0"/>
        <v>2940000</v>
      </c>
      <c r="I14" s="24" t="s">
        <v>2</v>
      </c>
    </row>
    <row r="15" spans="2:10">
      <c r="B15" s="25" t="s">
        <v>45</v>
      </c>
      <c r="C15" s="26" t="s">
        <v>35</v>
      </c>
      <c r="D15" s="26" t="s">
        <v>62</v>
      </c>
      <c r="E15" s="26" t="s">
        <v>77</v>
      </c>
      <c r="F15" s="4">
        <v>14000000</v>
      </c>
      <c r="G15" s="4">
        <v>2800000</v>
      </c>
      <c r="H15" s="23">
        <f t="shared" si="0"/>
        <v>3360000</v>
      </c>
      <c r="I15" s="24" t="s">
        <v>3</v>
      </c>
    </row>
    <row r="16" spans="2:10">
      <c r="B16" s="25" t="s">
        <v>46</v>
      </c>
      <c r="C16" s="26" t="s">
        <v>36</v>
      </c>
      <c r="D16" s="26" t="s">
        <v>63</v>
      </c>
      <c r="E16" s="26" t="s">
        <v>75</v>
      </c>
      <c r="F16" s="4">
        <v>13000000</v>
      </c>
      <c r="G16" s="4">
        <v>5020000</v>
      </c>
      <c r="H16" s="23">
        <f t="shared" si="0"/>
        <v>2394000</v>
      </c>
      <c r="I16" s="24" t="s">
        <v>3</v>
      </c>
    </row>
    <row r="17" spans="2:9">
      <c r="B17" s="25" t="s">
        <v>46</v>
      </c>
      <c r="C17" s="26" t="s">
        <v>35</v>
      </c>
      <c r="D17" s="26" t="s">
        <v>64</v>
      </c>
      <c r="E17" s="26" t="s">
        <v>76</v>
      </c>
      <c r="F17" s="4">
        <v>34000000</v>
      </c>
      <c r="G17" s="4">
        <v>7000000</v>
      </c>
      <c r="H17" s="23">
        <f t="shared" si="0"/>
        <v>8100000</v>
      </c>
      <c r="I17" s="24" t="s">
        <v>39</v>
      </c>
    </row>
    <row r="18" spans="2:9">
      <c r="B18" s="25" t="s">
        <v>47</v>
      </c>
      <c r="C18" s="26" t="s">
        <v>36</v>
      </c>
      <c r="D18" s="26" t="s">
        <v>65</v>
      </c>
      <c r="E18" s="26" t="s">
        <v>78</v>
      </c>
      <c r="F18" s="4">
        <v>13000000</v>
      </c>
      <c r="G18" s="4">
        <v>2000000</v>
      </c>
      <c r="H18" s="23">
        <f t="shared" si="0"/>
        <v>3300000</v>
      </c>
      <c r="I18" s="24" t="s">
        <v>38</v>
      </c>
    </row>
    <row r="19" spans="2:9">
      <c r="B19" s="25" t="s">
        <v>47</v>
      </c>
      <c r="C19" s="26" t="s">
        <v>35</v>
      </c>
      <c r="D19" s="26" t="s">
        <v>66</v>
      </c>
      <c r="E19" s="26" t="s">
        <v>76</v>
      </c>
      <c r="F19" s="4">
        <v>19000000</v>
      </c>
      <c r="G19" s="4">
        <v>4125000</v>
      </c>
      <c r="H19" s="23">
        <f t="shared" si="0"/>
        <v>4462500</v>
      </c>
      <c r="I19" s="24" t="s">
        <v>39</v>
      </c>
    </row>
    <row r="20" spans="2:9">
      <c r="B20" s="25" t="s">
        <v>48</v>
      </c>
      <c r="C20" s="26" t="s">
        <v>36</v>
      </c>
      <c r="D20" s="26" t="s">
        <v>67</v>
      </c>
      <c r="E20" s="26" t="s">
        <v>76</v>
      </c>
      <c r="F20" s="4">
        <v>16000000</v>
      </c>
      <c r="G20" s="4">
        <v>4897000</v>
      </c>
      <c r="H20" s="23">
        <f t="shared" si="0"/>
        <v>3330900</v>
      </c>
      <c r="I20" s="24" t="s">
        <v>2</v>
      </c>
    </row>
    <row r="21" spans="2:9" ht="17.25" thickBot="1">
      <c r="B21" s="27" t="s">
        <v>48</v>
      </c>
      <c r="C21" s="28" t="s">
        <v>35</v>
      </c>
      <c r="D21" s="28" t="s">
        <v>68</v>
      </c>
      <c r="E21" s="28" t="s">
        <v>77</v>
      </c>
      <c r="F21" s="29">
        <v>13000000</v>
      </c>
      <c r="G21" s="29">
        <v>6848000</v>
      </c>
      <c r="H21" s="23">
        <f t="shared" si="0"/>
        <v>1845600</v>
      </c>
      <c r="I21" s="30" t="s">
        <v>3</v>
      </c>
    </row>
    <row r="26" spans="2:9">
      <c r="F26" s="31"/>
      <c r="G26" s="31"/>
    </row>
    <row r="27" spans="2:9">
      <c r="F27" s="31"/>
    </row>
  </sheetData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99"/>
  </sheetPr>
  <dimension ref="B3:N57"/>
  <sheetViews>
    <sheetView workbookViewId="0"/>
  </sheetViews>
  <sheetFormatPr defaultRowHeight="13.5"/>
  <cols>
    <col min="1" max="1" width="4.375" style="35" customWidth="1"/>
    <col min="2" max="2" width="6.375" style="35" bestFit="1" customWidth="1"/>
    <col min="3" max="3" width="13.875" style="36" bestFit="1" customWidth="1"/>
    <col min="4" max="4" width="6.375" style="37" bestFit="1" customWidth="1"/>
    <col min="5" max="5" width="9.25" style="35" bestFit="1" customWidth="1"/>
    <col min="6" max="6" width="6" style="38" bestFit="1" customWidth="1"/>
    <col min="7" max="7" width="6" style="36" bestFit="1" customWidth="1"/>
    <col min="8" max="8" width="8.375" style="36" bestFit="1" customWidth="1"/>
    <col min="9" max="9" width="9.625" style="35" bestFit="1" customWidth="1"/>
    <col min="10" max="10" width="5.5" style="35" customWidth="1"/>
    <col min="11" max="11" width="8" style="35" bestFit="1" customWidth="1"/>
    <col min="12" max="12" width="12.5" style="35" customWidth="1"/>
    <col min="13" max="13" width="13.75" style="35" bestFit="1" customWidth="1"/>
    <col min="14" max="14" width="11" style="35" customWidth="1"/>
    <col min="15" max="254" width="9" style="35"/>
    <col min="255" max="255" width="4.375" style="35" customWidth="1"/>
    <col min="256" max="256" width="12.75" style="35" bestFit="1" customWidth="1"/>
    <col min="257" max="257" width="17" style="35" bestFit="1" customWidth="1"/>
    <col min="258" max="258" width="14" style="35" customWidth="1"/>
    <col min="259" max="263" width="14.25" style="35" bestFit="1" customWidth="1"/>
    <col min="264" max="264" width="12.75" style="35" customWidth="1"/>
    <col min="265" max="265" width="5.5" style="35" customWidth="1"/>
    <col min="266" max="266" width="10.625" style="35" customWidth="1"/>
    <col min="267" max="267" width="11.75" style="35" bestFit="1" customWidth="1"/>
    <col min="268" max="268" width="14.25" style="35" bestFit="1" customWidth="1"/>
    <col min="269" max="269" width="10.375" style="35" customWidth="1"/>
    <col min="270" max="510" width="9" style="35"/>
    <col min="511" max="511" width="4.375" style="35" customWidth="1"/>
    <col min="512" max="512" width="12.75" style="35" bestFit="1" customWidth="1"/>
    <col min="513" max="513" width="17" style="35" bestFit="1" customWidth="1"/>
    <col min="514" max="514" width="14" style="35" customWidth="1"/>
    <col min="515" max="519" width="14.25" style="35" bestFit="1" customWidth="1"/>
    <col min="520" max="520" width="12.75" style="35" customWidth="1"/>
    <col min="521" max="521" width="5.5" style="35" customWidth="1"/>
    <col min="522" max="522" width="10.625" style="35" customWidth="1"/>
    <col min="523" max="523" width="11.75" style="35" bestFit="1" customWidth="1"/>
    <col min="524" max="524" width="14.25" style="35" bestFit="1" customWidth="1"/>
    <col min="525" max="525" width="10.375" style="35" customWidth="1"/>
    <col min="526" max="766" width="9" style="35"/>
    <col min="767" max="767" width="4.375" style="35" customWidth="1"/>
    <col min="768" max="768" width="12.75" style="35" bestFit="1" customWidth="1"/>
    <col min="769" max="769" width="17" style="35" bestFit="1" customWidth="1"/>
    <col min="770" max="770" width="14" style="35" customWidth="1"/>
    <col min="771" max="775" width="14.25" style="35" bestFit="1" customWidth="1"/>
    <col min="776" max="776" width="12.75" style="35" customWidth="1"/>
    <col min="777" max="777" width="5.5" style="35" customWidth="1"/>
    <col min="778" max="778" width="10.625" style="35" customWidth="1"/>
    <col min="779" max="779" width="11.75" style="35" bestFit="1" customWidth="1"/>
    <col min="780" max="780" width="14.25" style="35" bestFit="1" customWidth="1"/>
    <col min="781" max="781" width="10.375" style="35" customWidth="1"/>
    <col min="782" max="1022" width="9" style="35"/>
    <col min="1023" max="1023" width="4.375" style="35" customWidth="1"/>
    <col min="1024" max="1024" width="12.75" style="35" bestFit="1" customWidth="1"/>
    <col min="1025" max="1025" width="17" style="35" bestFit="1" customWidth="1"/>
    <col min="1026" max="1026" width="14" style="35" customWidth="1"/>
    <col min="1027" max="1031" width="14.25" style="35" bestFit="1" customWidth="1"/>
    <col min="1032" max="1032" width="12.75" style="35" customWidth="1"/>
    <col min="1033" max="1033" width="5.5" style="35" customWidth="1"/>
    <col min="1034" max="1034" width="10.625" style="35" customWidth="1"/>
    <col min="1035" max="1035" width="11.75" style="35" bestFit="1" customWidth="1"/>
    <col min="1036" max="1036" width="14.25" style="35" bestFit="1" customWidth="1"/>
    <col min="1037" max="1037" width="10.375" style="35" customWidth="1"/>
    <col min="1038" max="1278" width="9" style="35"/>
    <col min="1279" max="1279" width="4.375" style="35" customWidth="1"/>
    <col min="1280" max="1280" width="12.75" style="35" bestFit="1" customWidth="1"/>
    <col min="1281" max="1281" width="17" style="35" bestFit="1" customWidth="1"/>
    <col min="1282" max="1282" width="14" style="35" customWidth="1"/>
    <col min="1283" max="1287" width="14.25" style="35" bestFit="1" customWidth="1"/>
    <col min="1288" max="1288" width="12.75" style="35" customWidth="1"/>
    <col min="1289" max="1289" width="5.5" style="35" customWidth="1"/>
    <col min="1290" max="1290" width="10.625" style="35" customWidth="1"/>
    <col min="1291" max="1291" width="11.75" style="35" bestFit="1" customWidth="1"/>
    <col min="1292" max="1292" width="14.25" style="35" bestFit="1" customWidth="1"/>
    <col min="1293" max="1293" width="10.375" style="35" customWidth="1"/>
    <col min="1294" max="1534" width="9" style="35"/>
    <col min="1535" max="1535" width="4.375" style="35" customWidth="1"/>
    <col min="1536" max="1536" width="12.75" style="35" bestFit="1" customWidth="1"/>
    <col min="1537" max="1537" width="17" style="35" bestFit="1" customWidth="1"/>
    <col min="1538" max="1538" width="14" style="35" customWidth="1"/>
    <col min="1539" max="1543" width="14.25" style="35" bestFit="1" customWidth="1"/>
    <col min="1544" max="1544" width="12.75" style="35" customWidth="1"/>
    <col min="1545" max="1545" width="5.5" style="35" customWidth="1"/>
    <col min="1546" max="1546" width="10.625" style="35" customWidth="1"/>
    <col min="1547" max="1547" width="11.75" style="35" bestFit="1" customWidth="1"/>
    <col min="1548" max="1548" width="14.25" style="35" bestFit="1" customWidth="1"/>
    <col min="1549" max="1549" width="10.375" style="35" customWidth="1"/>
    <col min="1550" max="1790" width="9" style="35"/>
    <col min="1791" max="1791" width="4.375" style="35" customWidth="1"/>
    <col min="1792" max="1792" width="12.75" style="35" bestFit="1" customWidth="1"/>
    <col min="1793" max="1793" width="17" style="35" bestFit="1" customWidth="1"/>
    <col min="1794" max="1794" width="14" style="35" customWidth="1"/>
    <col min="1795" max="1799" width="14.25" style="35" bestFit="1" customWidth="1"/>
    <col min="1800" max="1800" width="12.75" style="35" customWidth="1"/>
    <col min="1801" max="1801" width="5.5" style="35" customWidth="1"/>
    <col min="1802" max="1802" width="10.625" style="35" customWidth="1"/>
    <col min="1803" max="1803" width="11.75" style="35" bestFit="1" customWidth="1"/>
    <col min="1804" max="1804" width="14.25" style="35" bestFit="1" customWidth="1"/>
    <col min="1805" max="1805" width="10.375" style="35" customWidth="1"/>
    <col min="1806" max="2046" width="9" style="35"/>
    <col min="2047" max="2047" width="4.375" style="35" customWidth="1"/>
    <col min="2048" max="2048" width="12.75" style="35" bestFit="1" customWidth="1"/>
    <col min="2049" max="2049" width="17" style="35" bestFit="1" customWidth="1"/>
    <col min="2050" max="2050" width="14" style="35" customWidth="1"/>
    <col min="2051" max="2055" width="14.25" style="35" bestFit="1" customWidth="1"/>
    <col min="2056" max="2056" width="12.75" style="35" customWidth="1"/>
    <col min="2057" max="2057" width="5.5" style="35" customWidth="1"/>
    <col min="2058" max="2058" width="10.625" style="35" customWidth="1"/>
    <col min="2059" max="2059" width="11.75" style="35" bestFit="1" customWidth="1"/>
    <col min="2060" max="2060" width="14.25" style="35" bestFit="1" customWidth="1"/>
    <col min="2061" max="2061" width="10.375" style="35" customWidth="1"/>
    <col min="2062" max="2302" width="9" style="35"/>
    <col min="2303" max="2303" width="4.375" style="35" customWidth="1"/>
    <col min="2304" max="2304" width="12.75" style="35" bestFit="1" customWidth="1"/>
    <col min="2305" max="2305" width="17" style="35" bestFit="1" customWidth="1"/>
    <col min="2306" max="2306" width="14" style="35" customWidth="1"/>
    <col min="2307" max="2311" width="14.25" style="35" bestFit="1" customWidth="1"/>
    <col min="2312" max="2312" width="12.75" style="35" customWidth="1"/>
    <col min="2313" max="2313" width="5.5" style="35" customWidth="1"/>
    <col min="2314" max="2314" width="10.625" style="35" customWidth="1"/>
    <col min="2315" max="2315" width="11.75" style="35" bestFit="1" customWidth="1"/>
    <col min="2316" max="2316" width="14.25" style="35" bestFit="1" customWidth="1"/>
    <col min="2317" max="2317" width="10.375" style="35" customWidth="1"/>
    <col min="2318" max="2558" width="9" style="35"/>
    <col min="2559" max="2559" width="4.375" style="35" customWidth="1"/>
    <col min="2560" max="2560" width="12.75" style="35" bestFit="1" customWidth="1"/>
    <col min="2561" max="2561" width="17" style="35" bestFit="1" customWidth="1"/>
    <col min="2562" max="2562" width="14" style="35" customWidth="1"/>
    <col min="2563" max="2567" width="14.25" style="35" bestFit="1" customWidth="1"/>
    <col min="2568" max="2568" width="12.75" style="35" customWidth="1"/>
    <col min="2569" max="2569" width="5.5" style="35" customWidth="1"/>
    <col min="2570" max="2570" width="10.625" style="35" customWidth="1"/>
    <col min="2571" max="2571" width="11.75" style="35" bestFit="1" customWidth="1"/>
    <col min="2572" max="2572" width="14.25" style="35" bestFit="1" customWidth="1"/>
    <col min="2573" max="2573" width="10.375" style="35" customWidth="1"/>
    <col min="2574" max="2814" width="9" style="35"/>
    <col min="2815" max="2815" width="4.375" style="35" customWidth="1"/>
    <col min="2816" max="2816" width="12.75" style="35" bestFit="1" customWidth="1"/>
    <col min="2817" max="2817" width="17" style="35" bestFit="1" customWidth="1"/>
    <col min="2818" max="2818" width="14" style="35" customWidth="1"/>
    <col min="2819" max="2823" width="14.25" style="35" bestFit="1" customWidth="1"/>
    <col min="2824" max="2824" width="12.75" style="35" customWidth="1"/>
    <col min="2825" max="2825" width="5.5" style="35" customWidth="1"/>
    <col min="2826" max="2826" width="10.625" style="35" customWidth="1"/>
    <col min="2827" max="2827" width="11.75" style="35" bestFit="1" customWidth="1"/>
    <col min="2828" max="2828" width="14.25" style="35" bestFit="1" customWidth="1"/>
    <col min="2829" max="2829" width="10.375" style="35" customWidth="1"/>
    <col min="2830" max="3070" width="9" style="35"/>
    <col min="3071" max="3071" width="4.375" style="35" customWidth="1"/>
    <col min="3072" max="3072" width="12.75" style="35" bestFit="1" customWidth="1"/>
    <col min="3073" max="3073" width="17" style="35" bestFit="1" customWidth="1"/>
    <col min="3074" max="3074" width="14" style="35" customWidth="1"/>
    <col min="3075" max="3079" width="14.25" style="35" bestFit="1" customWidth="1"/>
    <col min="3080" max="3080" width="12.75" style="35" customWidth="1"/>
    <col min="3081" max="3081" width="5.5" style="35" customWidth="1"/>
    <col min="3082" max="3082" width="10.625" style="35" customWidth="1"/>
    <col min="3083" max="3083" width="11.75" style="35" bestFit="1" customWidth="1"/>
    <col min="3084" max="3084" width="14.25" style="35" bestFit="1" customWidth="1"/>
    <col min="3085" max="3085" width="10.375" style="35" customWidth="1"/>
    <col min="3086" max="3326" width="9" style="35"/>
    <col min="3327" max="3327" width="4.375" style="35" customWidth="1"/>
    <col min="3328" max="3328" width="12.75" style="35" bestFit="1" customWidth="1"/>
    <col min="3329" max="3329" width="17" style="35" bestFit="1" customWidth="1"/>
    <col min="3330" max="3330" width="14" style="35" customWidth="1"/>
    <col min="3331" max="3335" width="14.25" style="35" bestFit="1" customWidth="1"/>
    <col min="3336" max="3336" width="12.75" style="35" customWidth="1"/>
    <col min="3337" max="3337" width="5.5" style="35" customWidth="1"/>
    <col min="3338" max="3338" width="10.625" style="35" customWidth="1"/>
    <col min="3339" max="3339" width="11.75" style="35" bestFit="1" customWidth="1"/>
    <col min="3340" max="3340" width="14.25" style="35" bestFit="1" customWidth="1"/>
    <col min="3341" max="3341" width="10.375" style="35" customWidth="1"/>
    <col min="3342" max="3582" width="9" style="35"/>
    <col min="3583" max="3583" width="4.375" style="35" customWidth="1"/>
    <col min="3584" max="3584" width="12.75" style="35" bestFit="1" customWidth="1"/>
    <col min="3585" max="3585" width="17" style="35" bestFit="1" customWidth="1"/>
    <col min="3586" max="3586" width="14" style="35" customWidth="1"/>
    <col min="3587" max="3591" width="14.25" style="35" bestFit="1" customWidth="1"/>
    <col min="3592" max="3592" width="12.75" style="35" customWidth="1"/>
    <col min="3593" max="3593" width="5.5" style="35" customWidth="1"/>
    <col min="3594" max="3594" width="10.625" style="35" customWidth="1"/>
    <col min="3595" max="3595" width="11.75" style="35" bestFit="1" customWidth="1"/>
    <col min="3596" max="3596" width="14.25" style="35" bestFit="1" customWidth="1"/>
    <col min="3597" max="3597" width="10.375" style="35" customWidth="1"/>
    <col min="3598" max="3838" width="9" style="35"/>
    <col min="3839" max="3839" width="4.375" style="35" customWidth="1"/>
    <col min="3840" max="3840" width="12.75" style="35" bestFit="1" customWidth="1"/>
    <col min="3841" max="3841" width="17" style="35" bestFit="1" customWidth="1"/>
    <col min="3842" max="3842" width="14" style="35" customWidth="1"/>
    <col min="3843" max="3847" width="14.25" style="35" bestFit="1" customWidth="1"/>
    <col min="3848" max="3848" width="12.75" style="35" customWidth="1"/>
    <col min="3849" max="3849" width="5.5" style="35" customWidth="1"/>
    <col min="3850" max="3850" width="10.625" style="35" customWidth="1"/>
    <col min="3851" max="3851" width="11.75" style="35" bestFit="1" customWidth="1"/>
    <col min="3852" max="3852" width="14.25" style="35" bestFit="1" customWidth="1"/>
    <col min="3853" max="3853" width="10.375" style="35" customWidth="1"/>
    <col min="3854" max="4094" width="9" style="35"/>
    <col min="4095" max="4095" width="4.375" style="35" customWidth="1"/>
    <col min="4096" max="4096" width="12.75" style="35" bestFit="1" customWidth="1"/>
    <col min="4097" max="4097" width="17" style="35" bestFit="1" customWidth="1"/>
    <col min="4098" max="4098" width="14" style="35" customWidth="1"/>
    <col min="4099" max="4103" width="14.25" style="35" bestFit="1" customWidth="1"/>
    <col min="4104" max="4104" width="12.75" style="35" customWidth="1"/>
    <col min="4105" max="4105" width="5.5" style="35" customWidth="1"/>
    <col min="4106" max="4106" width="10.625" style="35" customWidth="1"/>
    <col min="4107" max="4107" width="11.75" style="35" bestFit="1" customWidth="1"/>
    <col min="4108" max="4108" width="14.25" style="35" bestFit="1" customWidth="1"/>
    <col min="4109" max="4109" width="10.375" style="35" customWidth="1"/>
    <col min="4110" max="4350" width="9" style="35"/>
    <col min="4351" max="4351" width="4.375" style="35" customWidth="1"/>
    <col min="4352" max="4352" width="12.75" style="35" bestFit="1" customWidth="1"/>
    <col min="4353" max="4353" width="17" style="35" bestFit="1" customWidth="1"/>
    <col min="4354" max="4354" width="14" style="35" customWidth="1"/>
    <col min="4355" max="4359" width="14.25" style="35" bestFit="1" customWidth="1"/>
    <col min="4360" max="4360" width="12.75" style="35" customWidth="1"/>
    <col min="4361" max="4361" width="5.5" style="35" customWidth="1"/>
    <col min="4362" max="4362" width="10.625" style="35" customWidth="1"/>
    <col min="4363" max="4363" width="11.75" style="35" bestFit="1" customWidth="1"/>
    <col min="4364" max="4364" width="14.25" style="35" bestFit="1" customWidth="1"/>
    <col min="4365" max="4365" width="10.375" style="35" customWidth="1"/>
    <col min="4366" max="4606" width="9" style="35"/>
    <col min="4607" max="4607" width="4.375" style="35" customWidth="1"/>
    <col min="4608" max="4608" width="12.75" style="35" bestFit="1" customWidth="1"/>
    <col min="4609" max="4609" width="17" style="35" bestFit="1" customWidth="1"/>
    <col min="4610" max="4610" width="14" style="35" customWidth="1"/>
    <col min="4611" max="4615" width="14.25" style="35" bestFit="1" customWidth="1"/>
    <col min="4616" max="4616" width="12.75" style="35" customWidth="1"/>
    <col min="4617" max="4617" width="5.5" style="35" customWidth="1"/>
    <col min="4618" max="4618" width="10.625" style="35" customWidth="1"/>
    <col min="4619" max="4619" width="11.75" style="35" bestFit="1" customWidth="1"/>
    <col min="4620" max="4620" width="14.25" style="35" bestFit="1" customWidth="1"/>
    <col min="4621" max="4621" width="10.375" style="35" customWidth="1"/>
    <col min="4622" max="4862" width="9" style="35"/>
    <col min="4863" max="4863" width="4.375" style="35" customWidth="1"/>
    <col min="4864" max="4864" width="12.75" style="35" bestFit="1" customWidth="1"/>
    <col min="4865" max="4865" width="17" style="35" bestFit="1" customWidth="1"/>
    <col min="4866" max="4866" width="14" style="35" customWidth="1"/>
    <col min="4867" max="4871" width="14.25" style="35" bestFit="1" customWidth="1"/>
    <col min="4872" max="4872" width="12.75" style="35" customWidth="1"/>
    <col min="4873" max="4873" width="5.5" style="35" customWidth="1"/>
    <col min="4874" max="4874" width="10.625" style="35" customWidth="1"/>
    <col min="4875" max="4875" width="11.75" style="35" bestFit="1" customWidth="1"/>
    <col min="4876" max="4876" width="14.25" style="35" bestFit="1" customWidth="1"/>
    <col min="4877" max="4877" width="10.375" style="35" customWidth="1"/>
    <col min="4878" max="5118" width="9" style="35"/>
    <col min="5119" max="5119" width="4.375" style="35" customWidth="1"/>
    <col min="5120" max="5120" width="12.75" style="35" bestFit="1" customWidth="1"/>
    <col min="5121" max="5121" width="17" style="35" bestFit="1" customWidth="1"/>
    <col min="5122" max="5122" width="14" style="35" customWidth="1"/>
    <col min="5123" max="5127" width="14.25" style="35" bestFit="1" customWidth="1"/>
    <col min="5128" max="5128" width="12.75" style="35" customWidth="1"/>
    <col min="5129" max="5129" width="5.5" style="35" customWidth="1"/>
    <col min="5130" max="5130" width="10.625" style="35" customWidth="1"/>
    <col min="5131" max="5131" width="11.75" style="35" bestFit="1" customWidth="1"/>
    <col min="5132" max="5132" width="14.25" style="35" bestFit="1" customWidth="1"/>
    <col min="5133" max="5133" width="10.375" style="35" customWidth="1"/>
    <col min="5134" max="5374" width="9" style="35"/>
    <col min="5375" max="5375" width="4.375" style="35" customWidth="1"/>
    <col min="5376" max="5376" width="12.75" style="35" bestFit="1" customWidth="1"/>
    <col min="5377" max="5377" width="17" style="35" bestFit="1" customWidth="1"/>
    <col min="5378" max="5378" width="14" style="35" customWidth="1"/>
    <col min="5379" max="5383" width="14.25" style="35" bestFit="1" customWidth="1"/>
    <col min="5384" max="5384" width="12.75" style="35" customWidth="1"/>
    <col min="5385" max="5385" width="5.5" style="35" customWidth="1"/>
    <col min="5386" max="5386" width="10.625" style="35" customWidth="1"/>
    <col min="5387" max="5387" width="11.75" style="35" bestFit="1" customWidth="1"/>
    <col min="5388" max="5388" width="14.25" style="35" bestFit="1" customWidth="1"/>
    <col min="5389" max="5389" width="10.375" style="35" customWidth="1"/>
    <col min="5390" max="5630" width="9" style="35"/>
    <col min="5631" max="5631" width="4.375" style="35" customWidth="1"/>
    <col min="5632" max="5632" width="12.75" style="35" bestFit="1" customWidth="1"/>
    <col min="5633" max="5633" width="17" style="35" bestFit="1" customWidth="1"/>
    <col min="5634" max="5634" width="14" style="35" customWidth="1"/>
    <col min="5635" max="5639" width="14.25" style="35" bestFit="1" customWidth="1"/>
    <col min="5640" max="5640" width="12.75" style="35" customWidth="1"/>
    <col min="5641" max="5641" width="5.5" style="35" customWidth="1"/>
    <col min="5642" max="5642" width="10.625" style="35" customWidth="1"/>
    <col min="5643" max="5643" width="11.75" style="35" bestFit="1" customWidth="1"/>
    <col min="5644" max="5644" width="14.25" style="35" bestFit="1" customWidth="1"/>
    <col min="5645" max="5645" width="10.375" style="35" customWidth="1"/>
    <col min="5646" max="5886" width="9" style="35"/>
    <col min="5887" max="5887" width="4.375" style="35" customWidth="1"/>
    <col min="5888" max="5888" width="12.75" style="35" bestFit="1" customWidth="1"/>
    <col min="5889" max="5889" width="17" style="35" bestFit="1" customWidth="1"/>
    <col min="5890" max="5890" width="14" style="35" customWidth="1"/>
    <col min="5891" max="5895" width="14.25" style="35" bestFit="1" customWidth="1"/>
    <col min="5896" max="5896" width="12.75" style="35" customWidth="1"/>
    <col min="5897" max="5897" width="5.5" style="35" customWidth="1"/>
    <col min="5898" max="5898" width="10.625" style="35" customWidth="1"/>
    <col min="5899" max="5899" width="11.75" style="35" bestFit="1" customWidth="1"/>
    <col min="5900" max="5900" width="14.25" style="35" bestFit="1" customWidth="1"/>
    <col min="5901" max="5901" width="10.375" style="35" customWidth="1"/>
    <col min="5902" max="6142" width="9" style="35"/>
    <col min="6143" max="6143" width="4.375" style="35" customWidth="1"/>
    <col min="6144" max="6144" width="12.75" style="35" bestFit="1" customWidth="1"/>
    <col min="6145" max="6145" width="17" style="35" bestFit="1" customWidth="1"/>
    <col min="6146" max="6146" width="14" style="35" customWidth="1"/>
    <col min="6147" max="6151" width="14.25" style="35" bestFit="1" customWidth="1"/>
    <col min="6152" max="6152" width="12.75" style="35" customWidth="1"/>
    <col min="6153" max="6153" width="5.5" style="35" customWidth="1"/>
    <col min="6154" max="6154" width="10.625" style="35" customWidth="1"/>
    <col min="6155" max="6155" width="11.75" style="35" bestFit="1" customWidth="1"/>
    <col min="6156" max="6156" width="14.25" style="35" bestFit="1" customWidth="1"/>
    <col min="6157" max="6157" width="10.375" style="35" customWidth="1"/>
    <col min="6158" max="6398" width="9" style="35"/>
    <col min="6399" max="6399" width="4.375" style="35" customWidth="1"/>
    <col min="6400" max="6400" width="12.75" style="35" bestFit="1" customWidth="1"/>
    <col min="6401" max="6401" width="17" style="35" bestFit="1" customWidth="1"/>
    <col min="6402" max="6402" width="14" style="35" customWidth="1"/>
    <col min="6403" max="6407" width="14.25" style="35" bestFit="1" customWidth="1"/>
    <col min="6408" max="6408" width="12.75" style="35" customWidth="1"/>
    <col min="6409" max="6409" width="5.5" style="35" customWidth="1"/>
    <col min="6410" max="6410" width="10.625" style="35" customWidth="1"/>
    <col min="6411" max="6411" width="11.75" style="35" bestFit="1" customWidth="1"/>
    <col min="6412" max="6412" width="14.25" style="35" bestFit="1" customWidth="1"/>
    <col min="6413" max="6413" width="10.375" style="35" customWidth="1"/>
    <col min="6414" max="6654" width="9" style="35"/>
    <col min="6655" max="6655" width="4.375" style="35" customWidth="1"/>
    <col min="6656" max="6656" width="12.75" style="35" bestFit="1" customWidth="1"/>
    <col min="6657" max="6657" width="17" style="35" bestFit="1" customWidth="1"/>
    <col min="6658" max="6658" width="14" style="35" customWidth="1"/>
    <col min="6659" max="6663" width="14.25" style="35" bestFit="1" customWidth="1"/>
    <col min="6664" max="6664" width="12.75" style="35" customWidth="1"/>
    <col min="6665" max="6665" width="5.5" style="35" customWidth="1"/>
    <col min="6666" max="6666" width="10.625" style="35" customWidth="1"/>
    <col min="6667" max="6667" width="11.75" style="35" bestFit="1" customWidth="1"/>
    <col min="6668" max="6668" width="14.25" style="35" bestFit="1" customWidth="1"/>
    <col min="6669" max="6669" width="10.375" style="35" customWidth="1"/>
    <col min="6670" max="6910" width="9" style="35"/>
    <col min="6911" max="6911" width="4.375" style="35" customWidth="1"/>
    <col min="6912" max="6912" width="12.75" style="35" bestFit="1" customWidth="1"/>
    <col min="6913" max="6913" width="17" style="35" bestFit="1" customWidth="1"/>
    <col min="6914" max="6914" width="14" style="35" customWidth="1"/>
    <col min="6915" max="6919" width="14.25" style="35" bestFit="1" customWidth="1"/>
    <col min="6920" max="6920" width="12.75" style="35" customWidth="1"/>
    <col min="6921" max="6921" width="5.5" style="35" customWidth="1"/>
    <col min="6922" max="6922" width="10.625" style="35" customWidth="1"/>
    <col min="6923" max="6923" width="11.75" style="35" bestFit="1" customWidth="1"/>
    <col min="6924" max="6924" width="14.25" style="35" bestFit="1" customWidth="1"/>
    <col min="6925" max="6925" width="10.375" style="35" customWidth="1"/>
    <col min="6926" max="7166" width="9" style="35"/>
    <col min="7167" max="7167" width="4.375" style="35" customWidth="1"/>
    <col min="7168" max="7168" width="12.75" style="35" bestFit="1" customWidth="1"/>
    <col min="7169" max="7169" width="17" style="35" bestFit="1" customWidth="1"/>
    <col min="7170" max="7170" width="14" style="35" customWidth="1"/>
    <col min="7171" max="7175" width="14.25" style="35" bestFit="1" customWidth="1"/>
    <col min="7176" max="7176" width="12.75" style="35" customWidth="1"/>
    <col min="7177" max="7177" width="5.5" style="35" customWidth="1"/>
    <col min="7178" max="7178" width="10.625" style="35" customWidth="1"/>
    <col min="7179" max="7179" width="11.75" style="35" bestFit="1" customWidth="1"/>
    <col min="7180" max="7180" width="14.25" style="35" bestFit="1" customWidth="1"/>
    <col min="7181" max="7181" width="10.375" style="35" customWidth="1"/>
    <col min="7182" max="7422" width="9" style="35"/>
    <col min="7423" max="7423" width="4.375" style="35" customWidth="1"/>
    <col min="7424" max="7424" width="12.75" style="35" bestFit="1" customWidth="1"/>
    <col min="7425" max="7425" width="17" style="35" bestFit="1" customWidth="1"/>
    <col min="7426" max="7426" width="14" style="35" customWidth="1"/>
    <col min="7427" max="7431" width="14.25" style="35" bestFit="1" customWidth="1"/>
    <col min="7432" max="7432" width="12.75" style="35" customWidth="1"/>
    <col min="7433" max="7433" width="5.5" style="35" customWidth="1"/>
    <col min="7434" max="7434" width="10.625" style="35" customWidth="1"/>
    <col min="7435" max="7435" width="11.75" style="35" bestFit="1" customWidth="1"/>
    <col min="7436" max="7436" width="14.25" style="35" bestFit="1" customWidth="1"/>
    <col min="7437" max="7437" width="10.375" style="35" customWidth="1"/>
    <col min="7438" max="7678" width="9" style="35"/>
    <col min="7679" max="7679" width="4.375" style="35" customWidth="1"/>
    <col min="7680" max="7680" width="12.75" style="35" bestFit="1" customWidth="1"/>
    <col min="7681" max="7681" width="17" style="35" bestFit="1" customWidth="1"/>
    <col min="7682" max="7682" width="14" style="35" customWidth="1"/>
    <col min="7683" max="7687" width="14.25" style="35" bestFit="1" customWidth="1"/>
    <col min="7688" max="7688" width="12.75" style="35" customWidth="1"/>
    <col min="7689" max="7689" width="5.5" style="35" customWidth="1"/>
    <col min="7690" max="7690" width="10.625" style="35" customWidth="1"/>
    <col min="7691" max="7691" width="11.75" style="35" bestFit="1" customWidth="1"/>
    <col min="7692" max="7692" width="14.25" style="35" bestFit="1" customWidth="1"/>
    <col min="7693" max="7693" width="10.375" style="35" customWidth="1"/>
    <col min="7694" max="7934" width="9" style="35"/>
    <col min="7935" max="7935" width="4.375" style="35" customWidth="1"/>
    <col min="7936" max="7936" width="12.75" style="35" bestFit="1" customWidth="1"/>
    <col min="7937" max="7937" width="17" style="35" bestFit="1" customWidth="1"/>
    <col min="7938" max="7938" width="14" style="35" customWidth="1"/>
    <col min="7939" max="7943" width="14.25" style="35" bestFit="1" customWidth="1"/>
    <col min="7944" max="7944" width="12.75" style="35" customWidth="1"/>
    <col min="7945" max="7945" width="5.5" style="35" customWidth="1"/>
    <col min="7946" max="7946" width="10.625" style="35" customWidth="1"/>
    <col min="7947" max="7947" width="11.75" style="35" bestFit="1" customWidth="1"/>
    <col min="7948" max="7948" width="14.25" style="35" bestFit="1" customWidth="1"/>
    <col min="7949" max="7949" width="10.375" style="35" customWidth="1"/>
    <col min="7950" max="8190" width="9" style="35"/>
    <col min="8191" max="8191" width="4.375" style="35" customWidth="1"/>
    <col min="8192" max="8192" width="12.75" style="35" bestFit="1" customWidth="1"/>
    <col min="8193" max="8193" width="17" style="35" bestFit="1" customWidth="1"/>
    <col min="8194" max="8194" width="14" style="35" customWidth="1"/>
    <col min="8195" max="8199" width="14.25" style="35" bestFit="1" customWidth="1"/>
    <col min="8200" max="8200" width="12.75" style="35" customWidth="1"/>
    <col min="8201" max="8201" width="5.5" style="35" customWidth="1"/>
    <col min="8202" max="8202" width="10.625" style="35" customWidth="1"/>
    <col min="8203" max="8203" width="11.75" style="35" bestFit="1" customWidth="1"/>
    <col min="8204" max="8204" width="14.25" style="35" bestFit="1" customWidth="1"/>
    <col min="8205" max="8205" width="10.375" style="35" customWidth="1"/>
    <col min="8206" max="8446" width="9" style="35"/>
    <col min="8447" max="8447" width="4.375" style="35" customWidth="1"/>
    <col min="8448" max="8448" width="12.75" style="35" bestFit="1" customWidth="1"/>
    <col min="8449" max="8449" width="17" style="35" bestFit="1" customWidth="1"/>
    <col min="8450" max="8450" width="14" style="35" customWidth="1"/>
    <col min="8451" max="8455" width="14.25" style="35" bestFit="1" customWidth="1"/>
    <col min="8456" max="8456" width="12.75" style="35" customWidth="1"/>
    <col min="8457" max="8457" width="5.5" style="35" customWidth="1"/>
    <col min="8458" max="8458" width="10.625" style="35" customWidth="1"/>
    <col min="8459" max="8459" width="11.75" style="35" bestFit="1" customWidth="1"/>
    <col min="8460" max="8460" width="14.25" style="35" bestFit="1" customWidth="1"/>
    <col min="8461" max="8461" width="10.375" style="35" customWidth="1"/>
    <col min="8462" max="8702" width="9" style="35"/>
    <col min="8703" max="8703" width="4.375" style="35" customWidth="1"/>
    <col min="8704" max="8704" width="12.75" style="35" bestFit="1" customWidth="1"/>
    <col min="8705" max="8705" width="17" style="35" bestFit="1" customWidth="1"/>
    <col min="8706" max="8706" width="14" style="35" customWidth="1"/>
    <col min="8707" max="8711" width="14.25" style="35" bestFit="1" customWidth="1"/>
    <col min="8712" max="8712" width="12.75" style="35" customWidth="1"/>
    <col min="8713" max="8713" width="5.5" style="35" customWidth="1"/>
    <col min="8714" max="8714" width="10.625" style="35" customWidth="1"/>
    <col min="8715" max="8715" width="11.75" style="35" bestFit="1" customWidth="1"/>
    <col min="8716" max="8716" width="14.25" style="35" bestFit="1" customWidth="1"/>
    <col min="8717" max="8717" width="10.375" style="35" customWidth="1"/>
    <col min="8718" max="8958" width="9" style="35"/>
    <col min="8959" max="8959" width="4.375" style="35" customWidth="1"/>
    <col min="8960" max="8960" width="12.75" style="35" bestFit="1" customWidth="1"/>
    <col min="8961" max="8961" width="17" style="35" bestFit="1" customWidth="1"/>
    <col min="8962" max="8962" width="14" style="35" customWidth="1"/>
    <col min="8963" max="8967" width="14.25" style="35" bestFit="1" customWidth="1"/>
    <col min="8968" max="8968" width="12.75" style="35" customWidth="1"/>
    <col min="8969" max="8969" width="5.5" style="35" customWidth="1"/>
    <col min="8970" max="8970" width="10.625" style="35" customWidth="1"/>
    <col min="8971" max="8971" width="11.75" style="35" bestFit="1" customWidth="1"/>
    <col min="8972" max="8972" width="14.25" style="35" bestFit="1" customWidth="1"/>
    <col min="8973" max="8973" width="10.375" style="35" customWidth="1"/>
    <col min="8974" max="9214" width="9" style="35"/>
    <col min="9215" max="9215" width="4.375" style="35" customWidth="1"/>
    <col min="9216" max="9216" width="12.75" style="35" bestFit="1" customWidth="1"/>
    <col min="9217" max="9217" width="17" style="35" bestFit="1" customWidth="1"/>
    <col min="9218" max="9218" width="14" style="35" customWidth="1"/>
    <col min="9219" max="9223" width="14.25" style="35" bestFit="1" customWidth="1"/>
    <col min="9224" max="9224" width="12.75" style="35" customWidth="1"/>
    <col min="9225" max="9225" width="5.5" style="35" customWidth="1"/>
    <col min="9226" max="9226" width="10.625" style="35" customWidth="1"/>
    <col min="9227" max="9227" width="11.75" style="35" bestFit="1" customWidth="1"/>
    <col min="9228" max="9228" width="14.25" style="35" bestFit="1" customWidth="1"/>
    <col min="9229" max="9229" width="10.375" style="35" customWidth="1"/>
    <col min="9230" max="9470" width="9" style="35"/>
    <col min="9471" max="9471" width="4.375" style="35" customWidth="1"/>
    <col min="9472" max="9472" width="12.75" style="35" bestFit="1" customWidth="1"/>
    <col min="9473" max="9473" width="17" style="35" bestFit="1" customWidth="1"/>
    <col min="9474" max="9474" width="14" style="35" customWidth="1"/>
    <col min="9475" max="9479" width="14.25" style="35" bestFit="1" customWidth="1"/>
    <col min="9480" max="9480" width="12.75" style="35" customWidth="1"/>
    <col min="9481" max="9481" width="5.5" style="35" customWidth="1"/>
    <col min="9482" max="9482" width="10.625" style="35" customWidth="1"/>
    <col min="9483" max="9483" width="11.75" style="35" bestFit="1" customWidth="1"/>
    <col min="9484" max="9484" width="14.25" style="35" bestFit="1" customWidth="1"/>
    <col min="9485" max="9485" width="10.375" style="35" customWidth="1"/>
    <col min="9486" max="9726" width="9" style="35"/>
    <col min="9727" max="9727" width="4.375" style="35" customWidth="1"/>
    <col min="9728" max="9728" width="12.75" style="35" bestFit="1" customWidth="1"/>
    <col min="9729" max="9729" width="17" style="35" bestFit="1" customWidth="1"/>
    <col min="9730" max="9730" width="14" style="35" customWidth="1"/>
    <col min="9731" max="9735" width="14.25" style="35" bestFit="1" customWidth="1"/>
    <col min="9736" max="9736" width="12.75" style="35" customWidth="1"/>
    <col min="9737" max="9737" width="5.5" style="35" customWidth="1"/>
    <col min="9738" max="9738" width="10.625" style="35" customWidth="1"/>
    <col min="9739" max="9739" width="11.75" style="35" bestFit="1" customWidth="1"/>
    <col min="9740" max="9740" width="14.25" style="35" bestFit="1" customWidth="1"/>
    <col min="9741" max="9741" width="10.375" style="35" customWidth="1"/>
    <col min="9742" max="9982" width="9" style="35"/>
    <col min="9983" max="9983" width="4.375" style="35" customWidth="1"/>
    <col min="9984" max="9984" width="12.75" style="35" bestFit="1" customWidth="1"/>
    <col min="9985" max="9985" width="17" style="35" bestFit="1" customWidth="1"/>
    <col min="9986" max="9986" width="14" style="35" customWidth="1"/>
    <col min="9987" max="9991" width="14.25" style="35" bestFit="1" customWidth="1"/>
    <col min="9992" max="9992" width="12.75" style="35" customWidth="1"/>
    <col min="9993" max="9993" width="5.5" style="35" customWidth="1"/>
    <col min="9994" max="9994" width="10.625" style="35" customWidth="1"/>
    <col min="9995" max="9995" width="11.75" style="35" bestFit="1" customWidth="1"/>
    <col min="9996" max="9996" width="14.25" style="35" bestFit="1" customWidth="1"/>
    <col min="9997" max="9997" width="10.375" style="35" customWidth="1"/>
    <col min="9998" max="10238" width="9" style="35"/>
    <col min="10239" max="10239" width="4.375" style="35" customWidth="1"/>
    <col min="10240" max="10240" width="12.75" style="35" bestFit="1" customWidth="1"/>
    <col min="10241" max="10241" width="17" style="35" bestFit="1" customWidth="1"/>
    <col min="10242" max="10242" width="14" style="35" customWidth="1"/>
    <col min="10243" max="10247" width="14.25" style="35" bestFit="1" customWidth="1"/>
    <col min="10248" max="10248" width="12.75" style="35" customWidth="1"/>
    <col min="10249" max="10249" width="5.5" style="35" customWidth="1"/>
    <col min="10250" max="10250" width="10.625" style="35" customWidth="1"/>
    <col min="10251" max="10251" width="11.75" style="35" bestFit="1" customWidth="1"/>
    <col min="10252" max="10252" width="14.25" style="35" bestFit="1" customWidth="1"/>
    <col min="10253" max="10253" width="10.375" style="35" customWidth="1"/>
    <col min="10254" max="10494" width="9" style="35"/>
    <col min="10495" max="10495" width="4.375" style="35" customWidth="1"/>
    <col min="10496" max="10496" width="12.75" style="35" bestFit="1" customWidth="1"/>
    <col min="10497" max="10497" width="17" style="35" bestFit="1" customWidth="1"/>
    <col min="10498" max="10498" width="14" style="35" customWidth="1"/>
    <col min="10499" max="10503" width="14.25" style="35" bestFit="1" customWidth="1"/>
    <col min="10504" max="10504" width="12.75" style="35" customWidth="1"/>
    <col min="10505" max="10505" width="5.5" style="35" customWidth="1"/>
    <col min="10506" max="10506" width="10.625" style="35" customWidth="1"/>
    <col min="10507" max="10507" width="11.75" style="35" bestFit="1" customWidth="1"/>
    <col min="10508" max="10508" width="14.25" style="35" bestFit="1" customWidth="1"/>
    <col min="10509" max="10509" width="10.375" style="35" customWidth="1"/>
    <col min="10510" max="10750" width="9" style="35"/>
    <col min="10751" max="10751" width="4.375" style="35" customWidth="1"/>
    <col min="10752" max="10752" width="12.75" style="35" bestFit="1" customWidth="1"/>
    <col min="10753" max="10753" width="17" style="35" bestFit="1" customWidth="1"/>
    <col min="10754" max="10754" width="14" style="35" customWidth="1"/>
    <col min="10755" max="10759" width="14.25" style="35" bestFit="1" customWidth="1"/>
    <col min="10760" max="10760" width="12.75" style="35" customWidth="1"/>
    <col min="10761" max="10761" width="5.5" style="35" customWidth="1"/>
    <col min="10762" max="10762" width="10.625" style="35" customWidth="1"/>
    <col min="10763" max="10763" width="11.75" style="35" bestFit="1" customWidth="1"/>
    <col min="10764" max="10764" width="14.25" style="35" bestFit="1" customWidth="1"/>
    <col min="10765" max="10765" width="10.375" style="35" customWidth="1"/>
    <col min="10766" max="11006" width="9" style="35"/>
    <col min="11007" max="11007" width="4.375" style="35" customWidth="1"/>
    <col min="11008" max="11008" width="12.75" style="35" bestFit="1" customWidth="1"/>
    <col min="11009" max="11009" width="17" style="35" bestFit="1" customWidth="1"/>
    <col min="11010" max="11010" width="14" style="35" customWidth="1"/>
    <col min="11011" max="11015" width="14.25" style="35" bestFit="1" customWidth="1"/>
    <col min="11016" max="11016" width="12.75" style="35" customWidth="1"/>
    <col min="11017" max="11017" width="5.5" style="35" customWidth="1"/>
    <col min="11018" max="11018" width="10.625" style="35" customWidth="1"/>
    <col min="11019" max="11019" width="11.75" style="35" bestFit="1" customWidth="1"/>
    <col min="11020" max="11020" width="14.25" style="35" bestFit="1" customWidth="1"/>
    <col min="11021" max="11021" width="10.375" style="35" customWidth="1"/>
    <col min="11022" max="11262" width="9" style="35"/>
    <col min="11263" max="11263" width="4.375" style="35" customWidth="1"/>
    <col min="11264" max="11264" width="12.75" style="35" bestFit="1" customWidth="1"/>
    <col min="11265" max="11265" width="17" style="35" bestFit="1" customWidth="1"/>
    <col min="11266" max="11266" width="14" style="35" customWidth="1"/>
    <col min="11267" max="11271" width="14.25" style="35" bestFit="1" customWidth="1"/>
    <col min="11272" max="11272" width="12.75" style="35" customWidth="1"/>
    <col min="11273" max="11273" width="5.5" style="35" customWidth="1"/>
    <col min="11274" max="11274" width="10.625" style="35" customWidth="1"/>
    <col min="11275" max="11275" width="11.75" style="35" bestFit="1" customWidth="1"/>
    <col min="11276" max="11276" width="14.25" style="35" bestFit="1" customWidth="1"/>
    <col min="11277" max="11277" width="10.375" style="35" customWidth="1"/>
    <col min="11278" max="11518" width="9" style="35"/>
    <col min="11519" max="11519" width="4.375" style="35" customWidth="1"/>
    <col min="11520" max="11520" width="12.75" style="35" bestFit="1" customWidth="1"/>
    <col min="11521" max="11521" width="17" style="35" bestFit="1" customWidth="1"/>
    <col min="11522" max="11522" width="14" style="35" customWidth="1"/>
    <col min="11523" max="11527" width="14.25" style="35" bestFit="1" customWidth="1"/>
    <col min="11528" max="11528" width="12.75" style="35" customWidth="1"/>
    <col min="11529" max="11529" width="5.5" style="35" customWidth="1"/>
    <col min="11530" max="11530" width="10.625" style="35" customWidth="1"/>
    <col min="11531" max="11531" width="11.75" style="35" bestFit="1" customWidth="1"/>
    <col min="11532" max="11532" width="14.25" style="35" bestFit="1" customWidth="1"/>
    <col min="11533" max="11533" width="10.375" style="35" customWidth="1"/>
    <col min="11534" max="11774" width="9" style="35"/>
    <col min="11775" max="11775" width="4.375" style="35" customWidth="1"/>
    <col min="11776" max="11776" width="12.75" style="35" bestFit="1" customWidth="1"/>
    <col min="11777" max="11777" width="17" style="35" bestFit="1" customWidth="1"/>
    <col min="11778" max="11778" width="14" style="35" customWidth="1"/>
    <col min="11779" max="11783" width="14.25" style="35" bestFit="1" customWidth="1"/>
    <col min="11784" max="11784" width="12.75" style="35" customWidth="1"/>
    <col min="11785" max="11785" width="5.5" style="35" customWidth="1"/>
    <col min="11786" max="11786" width="10.625" style="35" customWidth="1"/>
    <col min="11787" max="11787" width="11.75" style="35" bestFit="1" customWidth="1"/>
    <col min="11788" max="11788" width="14.25" style="35" bestFit="1" customWidth="1"/>
    <col min="11789" max="11789" width="10.375" style="35" customWidth="1"/>
    <col min="11790" max="12030" width="9" style="35"/>
    <col min="12031" max="12031" width="4.375" style="35" customWidth="1"/>
    <col min="12032" max="12032" width="12.75" style="35" bestFit="1" customWidth="1"/>
    <col min="12033" max="12033" width="17" style="35" bestFit="1" customWidth="1"/>
    <col min="12034" max="12034" width="14" style="35" customWidth="1"/>
    <col min="12035" max="12039" width="14.25" style="35" bestFit="1" customWidth="1"/>
    <col min="12040" max="12040" width="12.75" style="35" customWidth="1"/>
    <col min="12041" max="12041" width="5.5" style="35" customWidth="1"/>
    <col min="12042" max="12042" width="10.625" style="35" customWidth="1"/>
    <col min="12043" max="12043" width="11.75" style="35" bestFit="1" customWidth="1"/>
    <col min="12044" max="12044" width="14.25" style="35" bestFit="1" customWidth="1"/>
    <col min="12045" max="12045" width="10.375" style="35" customWidth="1"/>
    <col min="12046" max="12286" width="9" style="35"/>
    <col min="12287" max="12287" width="4.375" style="35" customWidth="1"/>
    <col min="12288" max="12288" width="12.75" style="35" bestFit="1" customWidth="1"/>
    <col min="12289" max="12289" width="17" style="35" bestFit="1" customWidth="1"/>
    <col min="12290" max="12290" width="14" style="35" customWidth="1"/>
    <col min="12291" max="12295" width="14.25" style="35" bestFit="1" customWidth="1"/>
    <col min="12296" max="12296" width="12.75" style="35" customWidth="1"/>
    <col min="12297" max="12297" width="5.5" style="35" customWidth="1"/>
    <col min="12298" max="12298" width="10.625" style="35" customWidth="1"/>
    <col min="12299" max="12299" width="11.75" style="35" bestFit="1" customWidth="1"/>
    <col min="12300" max="12300" width="14.25" style="35" bestFit="1" customWidth="1"/>
    <col min="12301" max="12301" width="10.375" style="35" customWidth="1"/>
    <col min="12302" max="12542" width="9" style="35"/>
    <col min="12543" max="12543" width="4.375" style="35" customWidth="1"/>
    <col min="12544" max="12544" width="12.75" style="35" bestFit="1" customWidth="1"/>
    <col min="12545" max="12545" width="17" style="35" bestFit="1" customWidth="1"/>
    <col min="12546" max="12546" width="14" style="35" customWidth="1"/>
    <col min="12547" max="12551" width="14.25" style="35" bestFit="1" customWidth="1"/>
    <col min="12552" max="12552" width="12.75" style="35" customWidth="1"/>
    <col min="12553" max="12553" width="5.5" style="35" customWidth="1"/>
    <col min="12554" max="12554" width="10.625" style="35" customWidth="1"/>
    <col min="12555" max="12555" width="11.75" style="35" bestFit="1" customWidth="1"/>
    <col min="12556" max="12556" width="14.25" style="35" bestFit="1" customWidth="1"/>
    <col min="12557" max="12557" width="10.375" style="35" customWidth="1"/>
    <col min="12558" max="12798" width="9" style="35"/>
    <col min="12799" max="12799" width="4.375" style="35" customWidth="1"/>
    <col min="12800" max="12800" width="12.75" style="35" bestFit="1" customWidth="1"/>
    <col min="12801" max="12801" width="17" style="35" bestFit="1" customWidth="1"/>
    <col min="12802" max="12802" width="14" style="35" customWidth="1"/>
    <col min="12803" max="12807" width="14.25" style="35" bestFit="1" customWidth="1"/>
    <col min="12808" max="12808" width="12.75" style="35" customWidth="1"/>
    <col min="12809" max="12809" width="5.5" style="35" customWidth="1"/>
    <col min="12810" max="12810" width="10.625" style="35" customWidth="1"/>
    <col min="12811" max="12811" width="11.75" style="35" bestFit="1" customWidth="1"/>
    <col min="12812" max="12812" width="14.25" style="35" bestFit="1" customWidth="1"/>
    <col min="12813" max="12813" width="10.375" style="35" customWidth="1"/>
    <col min="12814" max="13054" width="9" style="35"/>
    <col min="13055" max="13055" width="4.375" style="35" customWidth="1"/>
    <col min="13056" max="13056" width="12.75" style="35" bestFit="1" customWidth="1"/>
    <col min="13057" max="13057" width="17" style="35" bestFit="1" customWidth="1"/>
    <col min="13058" max="13058" width="14" style="35" customWidth="1"/>
    <col min="13059" max="13063" width="14.25" style="35" bestFit="1" customWidth="1"/>
    <col min="13064" max="13064" width="12.75" style="35" customWidth="1"/>
    <col min="13065" max="13065" width="5.5" style="35" customWidth="1"/>
    <col min="13066" max="13066" width="10.625" style="35" customWidth="1"/>
    <col min="13067" max="13067" width="11.75" style="35" bestFit="1" customWidth="1"/>
    <col min="13068" max="13068" width="14.25" style="35" bestFit="1" customWidth="1"/>
    <col min="13069" max="13069" width="10.375" style="35" customWidth="1"/>
    <col min="13070" max="13310" width="9" style="35"/>
    <col min="13311" max="13311" width="4.375" style="35" customWidth="1"/>
    <col min="13312" max="13312" width="12.75" style="35" bestFit="1" customWidth="1"/>
    <col min="13313" max="13313" width="17" style="35" bestFit="1" customWidth="1"/>
    <col min="13314" max="13314" width="14" style="35" customWidth="1"/>
    <col min="13315" max="13319" width="14.25" style="35" bestFit="1" customWidth="1"/>
    <col min="13320" max="13320" width="12.75" style="35" customWidth="1"/>
    <col min="13321" max="13321" width="5.5" style="35" customWidth="1"/>
    <col min="13322" max="13322" width="10.625" style="35" customWidth="1"/>
    <col min="13323" max="13323" width="11.75" style="35" bestFit="1" customWidth="1"/>
    <col min="13324" max="13324" width="14.25" style="35" bestFit="1" customWidth="1"/>
    <col min="13325" max="13325" width="10.375" style="35" customWidth="1"/>
    <col min="13326" max="13566" width="9" style="35"/>
    <col min="13567" max="13567" width="4.375" style="35" customWidth="1"/>
    <col min="13568" max="13568" width="12.75" style="35" bestFit="1" customWidth="1"/>
    <col min="13569" max="13569" width="17" style="35" bestFit="1" customWidth="1"/>
    <col min="13570" max="13570" width="14" style="35" customWidth="1"/>
    <col min="13571" max="13575" width="14.25" style="35" bestFit="1" customWidth="1"/>
    <col min="13576" max="13576" width="12.75" style="35" customWidth="1"/>
    <col min="13577" max="13577" width="5.5" style="35" customWidth="1"/>
    <col min="13578" max="13578" width="10.625" style="35" customWidth="1"/>
    <col min="13579" max="13579" width="11.75" style="35" bestFit="1" customWidth="1"/>
    <col min="13580" max="13580" width="14.25" style="35" bestFit="1" customWidth="1"/>
    <col min="13581" max="13581" width="10.375" style="35" customWidth="1"/>
    <col min="13582" max="13822" width="9" style="35"/>
    <col min="13823" max="13823" width="4.375" style="35" customWidth="1"/>
    <col min="13824" max="13824" width="12.75" style="35" bestFit="1" customWidth="1"/>
    <col min="13825" max="13825" width="17" style="35" bestFit="1" customWidth="1"/>
    <col min="13826" max="13826" width="14" style="35" customWidth="1"/>
    <col min="13827" max="13831" width="14.25" style="35" bestFit="1" customWidth="1"/>
    <col min="13832" max="13832" width="12.75" style="35" customWidth="1"/>
    <col min="13833" max="13833" width="5.5" style="35" customWidth="1"/>
    <col min="13834" max="13834" width="10.625" style="35" customWidth="1"/>
    <col min="13835" max="13835" width="11.75" style="35" bestFit="1" customWidth="1"/>
    <col min="13836" max="13836" width="14.25" style="35" bestFit="1" customWidth="1"/>
    <col min="13837" max="13837" width="10.375" style="35" customWidth="1"/>
    <col min="13838" max="14078" width="9" style="35"/>
    <col min="14079" max="14079" width="4.375" style="35" customWidth="1"/>
    <col min="14080" max="14080" width="12.75" style="35" bestFit="1" customWidth="1"/>
    <col min="14081" max="14081" width="17" style="35" bestFit="1" customWidth="1"/>
    <col min="14082" max="14082" width="14" style="35" customWidth="1"/>
    <col min="14083" max="14087" width="14.25" style="35" bestFit="1" customWidth="1"/>
    <col min="14088" max="14088" width="12.75" style="35" customWidth="1"/>
    <col min="14089" max="14089" width="5.5" style="35" customWidth="1"/>
    <col min="14090" max="14090" width="10.625" style="35" customWidth="1"/>
    <col min="14091" max="14091" width="11.75" style="35" bestFit="1" customWidth="1"/>
    <col min="14092" max="14092" width="14.25" style="35" bestFit="1" customWidth="1"/>
    <col min="14093" max="14093" width="10.375" style="35" customWidth="1"/>
    <col min="14094" max="14334" width="9" style="35"/>
    <col min="14335" max="14335" width="4.375" style="35" customWidth="1"/>
    <col min="14336" max="14336" width="12.75" style="35" bestFit="1" customWidth="1"/>
    <col min="14337" max="14337" width="17" style="35" bestFit="1" customWidth="1"/>
    <col min="14338" max="14338" width="14" style="35" customWidth="1"/>
    <col min="14339" max="14343" width="14.25" style="35" bestFit="1" customWidth="1"/>
    <col min="14344" max="14344" width="12.75" style="35" customWidth="1"/>
    <col min="14345" max="14345" width="5.5" style="35" customWidth="1"/>
    <col min="14346" max="14346" width="10.625" style="35" customWidth="1"/>
    <col min="14347" max="14347" width="11.75" style="35" bestFit="1" customWidth="1"/>
    <col min="14348" max="14348" width="14.25" style="35" bestFit="1" customWidth="1"/>
    <col min="14349" max="14349" width="10.375" style="35" customWidth="1"/>
    <col min="14350" max="14590" width="9" style="35"/>
    <col min="14591" max="14591" width="4.375" style="35" customWidth="1"/>
    <col min="14592" max="14592" width="12.75" style="35" bestFit="1" customWidth="1"/>
    <col min="14593" max="14593" width="17" style="35" bestFit="1" customWidth="1"/>
    <col min="14594" max="14594" width="14" style="35" customWidth="1"/>
    <col min="14595" max="14599" width="14.25" style="35" bestFit="1" customWidth="1"/>
    <col min="14600" max="14600" width="12.75" style="35" customWidth="1"/>
    <col min="14601" max="14601" width="5.5" style="35" customWidth="1"/>
    <col min="14602" max="14602" width="10.625" style="35" customWidth="1"/>
    <col min="14603" max="14603" width="11.75" style="35" bestFit="1" customWidth="1"/>
    <col min="14604" max="14604" width="14.25" style="35" bestFit="1" customWidth="1"/>
    <col min="14605" max="14605" width="10.375" style="35" customWidth="1"/>
    <col min="14606" max="14846" width="9" style="35"/>
    <col min="14847" max="14847" width="4.375" style="35" customWidth="1"/>
    <col min="14848" max="14848" width="12.75" style="35" bestFit="1" customWidth="1"/>
    <col min="14849" max="14849" width="17" style="35" bestFit="1" customWidth="1"/>
    <col min="14850" max="14850" width="14" style="35" customWidth="1"/>
    <col min="14851" max="14855" width="14.25" style="35" bestFit="1" customWidth="1"/>
    <col min="14856" max="14856" width="12.75" style="35" customWidth="1"/>
    <col min="14857" max="14857" width="5.5" style="35" customWidth="1"/>
    <col min="14858" max="14858" width="10.625" style="35" customWidth="1"/>
    <col min="14859" max="14859" width="11.75" style="35" bestFit="1" customWidth="1"/>
    <col min="14860" max="14860" width="14.25" style="35" bestFit="1" customWidth="1"/>
    <col min="14861" max="14861" width="10.375" style="35" customWidth="1"/>
    <col min="14862" max="15102" width="9" style="35"/>
    <col min="15103" max="15103" width="4.375" style="35" customWidth="1"/>
    <col min="15104" max="15104" width="12.75" style="35" bestFit="1" customWidth="1"/>
    <col min="15105" max="15105" width="17" style="35" bestFit="1" customWidth="1"/>
    <col min="15106" max="15106" width="14" style="35" customWidth="1"/>
    <col min="15107" max="15111" width="14.25" style="35" bestFit="1" customWidth="1"/>
    <col min="15112" max="15112" width="12.75" style="35" customWidth="1"/>
    <col min="15113" max="15113" width="5.5" style="35" customWidth="1"/>
    <col min="15114" max="15114" width="10.625" style="35" customWidth="1"/>
    <col min="15115" max="15115" width="11.75" style="35" bestFit="1" customWidth="1"/>
    <col min="15116" max="15116" width="14.25" style="35" bestFit="1" customWidth="1"/>
    <col min="15117" max="15117" width="10.375" style="35" customWidth="1"/>
    <col min="15118" max="15358" width="9" style="35"/>
    <col min="15359" max="15359" width="4.375" style="35" customWidth="1"/>
    <col min="15360" max="15360" width="12.75" style="35" bestFit="1" customWidth="1"/>
    <col min="15361" max="15361" width="17" style="35" bestFit="1" customWidth="1"/>
    <col min="15362" max="15362" width="14" style="35" customWidth="1"/>
    <col min="15363" max="15367" width="14.25" style="35" bestFit="1" customWidth="1"/>
    <col min="15368" max="15368" width="12.75" style="35" customWidth="1"/>
    <col min="15369" max="15369" width="5.5" style="35" customWidth="1"/>
    <col min="15370" max="15370" width="10.625" style="35" customWidth="1"/>
    <col min="15371" max="15371" width="11.75" style="35" bestFit="1" customWidth="1"/>
    <col min="15372" max="15372" width="14.25" style="35" bestFit="1" customWidth="1"/>
    <col min="15373" max="15373" width="10.375" style="35" customWidth="1"/>
    <col min="15374" max="15614" width="9" style="35"/>
    <col min="15615" max="15615" width="4.375" style="35" customWidth="1"/>
    <col min="15616" max="15616" width="12.75" style="35" bestFit="1" customWidth="1"/>
    <col min="15617" max="15617" width="17" style="35" bestFit="1" customWidth="1"/>
    <col min="15618" max="15618" width="14" style="35" customWidth="1"/>
    <col min="15619" max="15623" width="14.25" style="35" bestFit="1" customWidth="1"/>
    <col min="15624" max="15624" width="12.75" style="35" customWidth="1"/>
    <col min="15625" max="15625" width="5.5" style="35" customWidth="1"/>
    <col min="15626" max="15626" width="10.625" style="35" customWidth="1"/>
    <col min="15627" max="15627" width="11.75" style="35" bestFit="1" customWidth="1"/>
    <col min="15628" max="15628" width="14.25" style="35" bestFit="1" customWidth="1"/>
    <col min="15629" max="15629" width="10.375" style="35" customWidth="1"/>
    <col min="15630" max="15870" width="9" style="35"/>
    <col min="15871" max="15871" width="4.375" style="35" customWidth="1"/>
    <col min="15872" max="15872" width="12.75" style="35" bestFit="1" customWidth="1"/>
    <col min="15873" max="15873" width="17" style="35" bestFit="1" customWidth="1"/>
    <col min="15874" max="15874" width="14" style="35" customWidth="1"/>
    <col min="15875" max="15879" width="14.25" style="35" bestFit="1" customWidth="1"/>
    <col min="15880" max="15880" width="12.75" style="35" customWidth="1"/>
    <col min="15881" max="15881" width="5.5" style="35" customWidth="1"/>
    <col min="15882" max="15882" width="10.625" style="35" customWidth="1"/>
    <col min="15883" max="15883" width="11.75" style="35" bestFit="1" customWidth="1"/>
    <col min="15884" max="15884" width="14.25" style="35" bestFit="1" customWidth="1"/>
    <col min="15885" max="15885" width="10.375" style="35" customWidth="1"/>
    <col min="15886" max="16126" width="9" style="35"/>
    <col min="16127" max="16127" width="4.375" style="35" customWidth="1"/>
    <col min="16128" max="16128" width="12.75" style="35" bestFit="1" customWidth="1"/>
    <col min="16129" max="16129" width="17" style="35" bestFit="1" customWidth="1"/>
    <col min="16130" max="16130" width="14" style="35" customWidth="1"/>
    <col min="16131" max="16135" width="14.25" style="35" bestFit="1" customWidth="1"/>
    <col min="16136" max="16136" width="12.75" style="35" customWidth="1"/>
    <col min="16137" max="16137" width="5.5" style="35" customWidth="1"/>
    <col min="16138" max="16138" width="10.625" style="35" customWidth="1"/>
    <col min="16139" max="16139" width="11.75" style="35" bestFit="1" customWidth="1"/>
    <col min="16140" max="16140" width="14.25" style="35" bestFit="1" customWidth="1"/>
    <col min="16141" max="16141" width="10.375" style="35" customWidth="1"/>
    <col min="16142" max="16384" width="9" style="35"/>
  </cols>
  <sheetData>
    <row r="3" spans="2:14">
      <c r="B3" s="35" t="s">
        <v>116</v>
      </c>
      <c r="K3" s="35" t="s">
        <v>117</v>
      </c>
      <c r="N3" s="36"/>
    </row>
    <row r="4" spans="2:14" ht="27">
      <c r="B4" s="39" t="s">
        <v>118</v>
      </c>
      <c r="C4" s="40" t="s">
        <v>119</v>
      </c>
      <c r="D4" s="39" t="s">
        <v>120</v>
      </c>
      <c r="E4" s="41" t="s">
        <v>121</v>
      </c>
      <c r="F4" s="41" t="s">
        <v>122</v>
      </c>
      <c r="G4" s="41" t="s">
        <v>123</v>
      </c>
      <c r="H4" s="41" t="s">
        <v>124</v>
      </c>
      <c r="I4" s="41" t="s">
        <v>125</v>
      </c>
      <c r="K4" s="42" t="s">
        <v>126</v>
      </c>
      <c r="L4" s="43" t="s">
        <v>184</v>
      </c>
    </row>
    <row r="5" spans="2:14" ht="17.25" customHeight="1">
      <c r="B5" s="42" t="s">
        <v>127</v>
      </c>
      <c r="C5" s="44" t="s">
        <v>128</v>
      </c>
      <c r="D5" s="42" t="s">
        <v>129</v>
      </c>
      <c r="E5" s="42" t="s">
        <v>130</v>
      </c>
      <c r="F5" s="45">
        <v>8</v>
      </c>
      <c r="G5" s="45">
        <v>5</v>
      </c>
      <c r="H5" s="45">
        <v>90000</v>
      </c>
      <c r="I5" s="46">
        <f t="shared" ref="I5:I31" si="0">G5*H5</f>
        <v>450000</v>
      </c>
      <c r="J5" s="47"/>
      <c r="K5" s="42" t="s">
        <v>131</v>
      </c>
      <c r="L5" s="42"/>
    </row>
    <row r="6" spans="2:14" ht="17.25" customHeight="1">
      <c r="B6" s="42" t="s">
        <v>132</v>
      </c>
      <c r="C6" s="44" t="s">
        <v>133</v>
      </c>
      <c r="D6" s="42" t="s">
        <v>134</v>
      </c>
      <c r="E6" s="42" t="s">
        <v>135</v>
      </c>
      <c r="F6" s="45">
        <v>10</v>
      </c>
      <c r="G6" s="45">
        <v>10</v>
      </c>
      <c r="H6" s="45">
        <v>30000</v>
      </c>
      <c r="I6" s="46">
        <v>500000</v>
      </c>
      <c r="K6" s="42" t="s">
        <v>136</v>
      </c>
      <c r="L6" s="42"/>
    </row>
    <row r="7" spans="2:14" ht="17.25" customHeight="1">
      <c r="B7" s="42" t="s">
        <v>132</v>
      </c>
      <c r="C7" s="44" t="s">
        <v>137</v>
      </c>
      <c r="D7" s="42" t="s">
        <v>134</v>
      </c>
      <c r="E7" s="42" t="s">
        <v>135</v>
      </c>
      <c r="F7" s="45">
        <v>15</v>
      </c>
      <c r="G7" s="45">
        <v>1</v>
      </c>
      <c r="H7" s="45">
        <v>30000</v>
      </c>
      <c r="I7" s="46">
        <v>360000</v>
      </c>
      <c r="K7" s="48" t="s">
        <v>138</v>
      </c>
      <c r="L7" s="42"/>
      <c r="M7" s="49"/>
    </row>
    <row r="8" spans="2:14" ht="17.25" customHeight="1">
      <c r="B8" s="42" t="s">
        <v>132</v>
      </c>
      <c r="C8" s="44" t="s">
        <v>139</v>
      </c>
      <c r="D8" s="42" t="s">
        <v>134</v>
      </c>
      <c r="E8" s="42" t="s">
        <v>140</v>
      </c>
      <c r="F8" s="45">
        <v>15</v>
      </c>
      <c r="G8" s="45">
        <v>10</v>
      </c>
      <c r="H8" s="45">
        <v>30000</v>
      </c>
      <c r="I8" s="46">
        <f t="shared" si="0"/>
        <v>300000</v>
      </c>
      <c r="K8" s="48" t="s">
        <v>141</v>
      </c>
      <c r="L8" s="42"/>
      <c r="M8" s="49"/>
    </row>
    <row r="9" spans="2:14" ht="17.25" customHeight="1">
      <c r="B9" s="42" t="s">
        <v>127</v>
      </c>
      <c r="C9" s="44" t="s">
        <v>142</v>
      </c>
      <c r="D9" s="42" t="s">
        <v>143</v>
      </c>
      <c r="E9" s="42" t="s">
        <v>130</v>
      </c>
      <c r="F9" s="45">
        <v>8</v>
      </c>
      <c r="G9" s="45">
        <v>9</v>
      </c>
      <c r="H9" s="45">
        <v>90000</v>
      </c>
      <c r="I9" s="46">
        <v>500000</v>
      </c>
      <c r="K9" s="48" t="s">
        <v>144</v>
      </c>
      <c r="L9" s="42"/>
      <c r="M9" s="49"/>
    </row>
    <row r="10" spans="2:14" ht="17.25" customHeight="1">
      <c r="B10" s="42" t="s">
        <v>127</v>
      </c>
      <c r="C10" s="44" t="s">
        <v>145</v>
      </c>
      <c r="D10" s="42" t="s">
        <v>146</v>
      </c>
      <c r="E10" s="42" t="s">
        <v>130</v>
      </c>
      <c r="F10" s="45">
        <v>10</v>
      </c>
      <c r="G10" s="45">
        <v>3</v>
      </c>
      <c r="H10" s="45">
        <v>60000</v>
      </c>
      <c r="I10" s="46">
        <v>430000</v>
      </c>
      <c r="L10" s="36"/>
      <c r="M10" s="37"/>
    </row>
    <row r="11" spans="2:14" ht="17.25" customHeight="1">
      <c r="B11" s="42" t="s">
        <v>127</v>
      </c>
      <c r="C11" s="44" t="s">
        <v>147</v>
      </c>
      <c r="D11" s="42" t="s">
        <v>146</v>
      </c>
      <c r="E11" s="42" t="s">
        <v>130</v>
      </c>
      <c r="F11" s="45">
        <v>10</v>
      </c>
      <c r="G11" s="45">
        <v>10</v>
      </c>
      <c r="H11" s="45">
        <v>50000</v>
      </c>
      <c r="I11" s="46">
        <v>250000</v>
      </c>
      <c r="K11" s="50" t="s">
        <v>148</v>
      </c>
      <c r="M11" s="36"/>
    </row>
    <row r="12" spans="2:14" ht="17.25" customHeight="1">
      <c r="B12" s="42" t="s">
        <v>132</v>
      </c>
      <c r="C12" s="44" t="s">
        <v>145</v>
      </c>
      <c r="D12" s="42" t="s">
        <v>146</v>
      </c>
      <c r="E12" s="42" t="s">
        <v>130</v>
      </c>
      <c r="F12" s="45">
        <v>15</v>
      </c>
      <c r="G12" s="45">
        <v>6</v>
      </c>
      <c r="H12" s="45">
        <v>60000</v>
      </c>
      <c r="I12" s="46">
        <f t="shared" si="0"/>
        <v>360000</v>
      </c>
      <c r="K12" s="59" t="s">
        <v>149</v>
      </c>
      <c r="L12" s="60" t="s">
        <v>185</v>
      </c>
    </row>
    <row r="13" spans="2:14" ht="17.25" customHeight="1">
      <c r="B13" s="42" t="s">
        <v>132</v>
      </c>
      <c r="C13" s="44" t="s">
        <v>147</v>
      </c>
      <c r="D13" s="42" t="s">
        <v>146</v>
      </c>
      <c r="E13" s="42" t="s">
        <v>130</v>
      </c>
      <c r="F13" s="45">
        <v>15</v>
      </c>
      <c r="G13" s="45">
        <v>8</v>
      </c>
      <c r="H13" s="45">
        <v>50000</v>
      </c>
      <c r="I13" s="46">
        <f t="shared" si="0"/>
        <v>400000</v>
      </c>
      <c r="K13" s="59"/>
      <c r="L13" s="60"/>
    </row>
    <row r="14" spans="2:14" ht="17.25" customHeight="1">
      <c r="B14" s="42" t="s">
        <v>132</v>
      </c>
      <c r="C14" s="44" t="s">
        <v>150</v>
      </c>
      <c r="D14" s="42" t="s">
        <v>151</v>
      </c>
      <c r="E14" s="42" t="s">
        <v>152</v>
      </c>
      <c r="F14" s="45">
        <v>15</v>
      </c>
      <c r="G14" s="45">
        <v>10</v>
      </c>
      <c r="H14" s="45">
        <v>60000</v>
      </c>
      <c r="I14" s="46">
        <v>390000</v>
      </c>
      <c r="K14" s="42" t="s">
        <v>146</v>
      </c>
      <c r="L14" s="45"/>
    </row>
    <row r="15" spans="2:14" ht="17.25" customHeight="1">
      <c r="B15" s="42" t="s">
        <v>132</v>
      </c>
      <c r="C15" s="44" t="s">
        <v>153</v>
      </c>
      <c r="D15" s="42" t="s">
        <v>154</v>
      </c>
      <c r="E15" s="42" t="s">
        <v>140</v>
      </c>
      <c r="F15" s="45">
        <v>8</v>
      </c>
      <c r="G15" s="45">
        <v>5</v>
      </c>
      <c r="H15" s="45">
        <v>80000</v>
      </c>
      <c r="I15" s="46">
        <f t="shared" si="0"/>
        <v>400000</v>
      </c>
      <c r="K15" s="42" t="s">
        <v>134</v>
      </c>
      <c r="L15" s="45"/>
    </row>
    <row r="16" spans="2:14" ht="17.25" customHeight="1">
      <c r="B16" s="42" t="s">
        <v>132</v>
      </c>
      <c r="C16" s="44" t="s">
        <v>155</v>
      </c>
      <c r="D16" s="42" t="s">
        <v>156</v>
      </c>
      <c r="E16" s="42" t="s">
        <v>152</v>
      </c>
      <c r="F16" s="45">
        <v>15</v>
      </c>
      <c r="G16" s="45">
        <v>8</v>
      </c>
      <c r="H16" s="45">
        <v>30000</v>
      </c>
      <c r="I16" s="46">
        <f t="shared" si="0"/>
        <v>240000</v>
      </c>
      <c r="K16" s="42" t="s">
        <v>157</v>
      </c>
      <c r="L16" s="45"/>
    </row>
    <row r="17" spans="2:13" ht="17.25" customHeight="1">
      <c r="B17" s="42" t="s">
        <v>132</v>
      </c>
      <c r="C17" s="44" t="s">
        <v>158</v>
      </c>
      <c r="D17" s="42" t="s">
        <v>156</v>
      </c>
      <c r="E17" s="42" t="s">
        <v>152</v>
      </c>
      <c r="F17" s="45">
        <v>15</v>
      </c>
      <c r="G17" s="45">
        <v>6</v>
      </c>
      <c r="H17" s="45">
        <v>35000</v>
      </c>
      <c r="I17" s="46">
        <f t="shared" si="0"/>
        <v>210000</v>
      </c>
      <c r="K17" s="42" t="s">
        <v>159</v>
      </c>
      <c r="L17" s="45"/>
    </row>
    <row r="18" spans="2:13" ht="17.25" customHeight="1">
      <c r="B18" s="42" t="s">
        <v>132</v>
      </c>
      <c r="C18" s="44" t="s">
        <v>160</v>
      </c>
      <c r="D18" s="42" t="s">
        <v>161</v>
      </c>
      <c r="E18" s="42" t="s">
        <v>162</v>
      </c>
      <c r="F18" s="45">
        <v>12</v>
      </c>
      <c r="G18" s="45">
        <v>12</v>
      </c>
      <c r="H18" s="45">
        <v>30000</v>
      </c>
      <c r="I18" s="46">
        <f t="shared" si="0"/>
        <v>360000</v>
      </c>
      <c r="K18" s="42" t="s">
        <v>163</v>
      </c>
      <c r="L18" s="45"/>
      <c r="M18" s="36"/>
    </row>
    <row r="19" spans="2:13" ht="17.25" customHeight="1">
      <c r="B19" s="42" t="s">
        <v>127</v>
      </c>
      <c r="C19" s="44" t="s">
        <v>164</v>
      </c>
      <c r="D19" s="42" t="s">
        <v>157</v>
      </c>
      <c r="E19" s="42" t="s">
        <v>152</v>
      </c>
      <c r="F19" s="45">
        <v>15</v>
      </c>
      <c r="G19" s="45">
        <v>13</v>
      </c>
      <c r="H19" s="45">
        <v>50000</v>
      </c>
      <c r="I19" s="46">
        <v>200000</v>
      </c>
      <c r="K19" s="38"/>
      <c r="L19" s="51"/>
      <c r="M19" s="52"/>
    </row>
    <row r="20" spans="2:13" ht="17.25" customHeight="1">
      <c r="B20" s="42" t="s">
        <v>127</v>
      </c>
      <c r="C20" s="44" t="s">
        <v>165</v>
      </c>
      <c r="D20" s="42" t="s">
        <v>157</v>
      </c>
      <c r="E20" s="42" t="s">
        <v>130</v>
      </c>
      <c r="F20" s="45">
        <v>10</v>
      </c>
      <c r="G20" s="45">
        <v>8</v>
      </c>
      <c r="H20" s="45">
        <v>80000</v>
      </c>
      <c r="I20" s="46">
        <v>290000</v>
      </c>
    </row>
    <row r="21" spans="2:13" ht="17.25" customHeight="1">
      <c r="B21" s="42" t="s">
        <v>132</v>
      </c>
      <c r="C21" s="44" t="s">
        <v>166</v>
      </c>
      <c r="D21" s="42" t="s">
        <v>167</v>
      </c>
      <c r="E21" s="42" t="s">
        <v>140</v>
      </c>
      <c r="F21" s="45">
        <v>5</v>
      </c>
      <c r="G21" s="45">
        <v>3</v>
      </c>
      <c r="H21" s="45">
        <v>350000</v>
      </c>
      <c r="I21" s="46">
        <v>360000</v>
      </c>
    </row>
    <row r="22" spans="2:13" ht="17.25" customHeight="1">
      <c r="B22" s="42" t="s">
        <v>132</v>
      </c>
      <c r="C22" s="44" t="s">
        <v>168</v>
      </c>
      <c r="D22" s="42" t="s">
        <v>169</v>
      </c>
      <c r="E22" s="42" t="s">
        <v>135</v>
      </c>
      <c r="F22" s="45">
        <v>10</v>
      </c>
      <c r="G22" s="45">
        <v>11</v>
      </c>
      <c r="H22" s="45">
        <v>30000</v>
      </c>
      <c r="I22" s="46">
        <f t="shared" si="0"/>
        <v>330000</v>
      </c>
    </row>
    <row r="23" spans="2:13" ht="17.25" customHeight="1">
      <c r="B23" s="42" t="s">
        <v>132</v>
      </c>
      <c r="C23" s="44" t="s">
        <v>170</v>
      </c>
      <c r="D23" s="42" t="s">
        <v>169</v>
      </c>
      <c r="E23" s="42" t="s">
        <v>152</v>
      </c>
      <c r="F23" s="45">
        <v>15</v>
      </c>
      <c r="G23" s="45">
        <v>8</v>
      </c>
      <c r="H23" s="45">
        <v>30000</v>
      </c>
      <c r="I23" s="46">
        <v>350000</v>
      </c>
    </row>
    <row r="24" spans="2:13" ht="17.25" customHeight="1">
      <c r="B24" s="42" t="s">
        <v>132</v>
      </c>
      <c r="C24" s="44" t="s">
        <v>171</v>
      </c>
      <c r="D24" s="42" t="s">
        <v>172</v>
      </c>
      <c r="E24" s="42" t="s">
        <v>162</v>
      </c>
      <c r="F24" s="45">
        <v>20</v>
      </c>
      <c r="G24" s="45">
        <v>8</v>
      </c>
      <c r="H24" s="45">
        <v>30000</v>
      </c>
      <c r="I24" s="46">
        <f t="shared" si="0"/>
        <v>240000</v>
      </c>
    </row>
    <row r="25" spans="2:13" ht="17.25" customHeight="1">
      <c r="B25" s="42" t="s">
        <v>132</v>
      </c>
      <c r="C25" s="44" t="s">
        <v>173</v>
      </c>
      <c r="D25" s="42" t="s">
        <v>159</v>
      </c>
      <c r="E25" s="42" t="s">
        <v>130</v>
      </c>
      <c r="F25" s="45">
        <v>15</v>
      </c>
      <c r="G25" s="45">
        <v>5</v>
      </c>
      <c r="H25" s="45">
        <v>40000</v>
      </c>
      <c r="I25" s="46">
        <f t="shared" si="0"/>
        <v>200000</v>
      </c>
    </row>
    <row r="26" spans="2:13" ht="17.25" customHeight="1">
      <c r="B26" s="42" t="s">
        <v>132</v>
      </c>
      <c r="C26" s="44" t="s">
        <v>174</v>
      </c>
      <c r="D26" s="42" t="s">
        <v>159</v>
      </c>
      <c r="E26" s="42" t="s">
        <v>140</v>
      </c>
      <c r="F26" s="45">
        <v>15</v>
      </c>
      <c r="G26" s="45">
        <v>8</v>
      </c>
      <c r="H26" s="45">
        <v>30000</v>
      </c>
      <c r="I26" s="46">
        <f t="shared" si="0"/>
        <v>240000</v>
      </c>
    </row>
    <row r="27" spans="2:13" ht="17.25" customHeight="1">
      <c r="B27" s="42" t="s">
        <v>132</v>
      </c>
      <c r="C27" s="44" t="s">
        <v>175</v>
      </c>
      <c r="D27" s="42" t="s">
        <v>176</v>
      </c>
      <c r="E27" s="42" t="s">
        <v>162</v>
      </c>
      <c r="F27" s="45">
        <v>20</v>
      </c>
      <c r="G27" s="45">
        <v>13</v>
      </c>
      <c r="H27" s="45">
        <v>30000</v>
      </c>
      <c r="I27" s="46">
        <f t="shared" si="0"/>
        <v>390000</v>
      </c>
    </row>
    <row r="28" spans="2:13" ht="17.25" customHeight="1">
      <c r="B28" s="42" t="s">
        <v>132</v>
      </c>
      <c r="C28" s="44" t="s">
        <v>177</v>
      </c>
      <c r="D28" s="42" t="s">
        <v>178</v>
      </c>
      <c r="E28" s="42" t="s">
        <v>162</v>
      </c>
      <c r="F28" s="45">
        <v>20</v>
      </c>
      <c r="G28" s="45">
        <v>20</v>
      </c>
      <c r="H28" s="45">
        <v>30000</v>
      </c>
      <c r="I28" s="46">
        <f t="shared" si="0"/>
        <v>600000</v>
      </c>
    </row>
    <row r="29" spans="2:13" ht="17.25" customHeight="1">
      <c r="B29" s="42" t="s">
        <v>132</v>
      </c>
      <c r="C29" s="44" t="s">
        <v>179</v>
      </c>
      <c r="D29" s="42" t="s">
        <v>180</v>
      </c>
      <c r="E29" s="45" t="s">
        <v>181</v>
      </c>
      <c r="F29" s="45">
        <v>15</v>
      </c>
      <c r="G29" s="45">
        <v>10</v>
      </c>
      <c r="H29" s="45">
        <v>30000</v>
      </c>
      <c r="I29" s="46">
        <f t="shared" si="0"/>
        <v>300000</v>
      </c>
    </row>
    <row r="30" spans="2:13" ht="17.25" customHeight="1">
      <c r="B30" s="42" t="s">
        <v>132</v>
      </c>
      <c r="C30" s="44" t="s">
        <v>182</v>
      </c>
      <c r="D30" s="42" t="s">
        <v>163</v>
      </c>
      <c r="E30" s="42" t="s">
        <v>162</v>
      </c>
      <c r="F30" s="45">
        <v>15</v>
      </c>
      <c r="G30" s="45">
        <v>2</v>
      </c>
      <c r="H30" s="45">
        <v>30000</v>
      </c>
      <c r="I30" s="46">
        <v>440000</v>
      </c>
    </row>
    <row r="31" spans="2:13" ht="17.25" customHeight="1">
      <c r="B31" s="42" t="s">
        <v>132</v>
      </c>
      <c r="C31" s="44" t="s">
        <v>183</v>
      </c>
      <c r="D31" s="42" t="s">
        <v>163</v>
      </c>
      <c r="E31" s="42" t="s">
        <v>141</v>
      </c>
      <c r="F31" s="45">
        <v>15</v>
      </c>
      <c r="G31" s="45">
        <v>7</v>
      </c>
      <c r="H31" s="45">
        <v>35000</v>
      </c>
      <c r="I31" s="46">
        <f t="shared" si="0"/>
        <v>245000</v>
      </c>
    </row>
    <row r="32" spans="2:13">
      <c r="C32" s="35"/>
      <c r="I32" s="36"/>
    </row>
    <row r="33" spans="5:14">
      <c r="I33" s="36"/>
    </row>
    <row r="35" spans="5:14">
      <c r="E35" s="49"/>
    </row>
    <row r="36" spans="5:14">
      <c r="E36" s="53"/>
    </row>
    <row r="37" spans="5:14">
      <c r="E37" s="53"/>
    </row>
    <row r="38" spans="5:14" s="54" customFormat="1">
      <c r="E38" s="49"/>
      <c r="K38" s="55"/>
      <c r="L38" s="35"/>
      <c r="M38" s="35"/>
      <c r="N38" s="35"/>
    </row>
    <row r="39" spans="5:14" s="54" customFormat="1">
      <c r="E39" s="49"/>
      <c r="K39" s="35"/>
      <c r="L39" s="35"/>
      <c r="M39" s="35"/>
      <c r="N39" s="35"/>
    </row>
    <row r="42" spans="5:14">
      <c r="I42" s="36"/>
    </row>
    <row r="43" spans="5:14">
      <c r="I43" s="36"/>
    </row>
    <row r="44" spans="5:14">
      <c r="I44" s="36"/>
    </row>
    <row r="45" spans="5:14">
      <c r="I45" s="36"/>
    </row>
    <row r="46" spans="5:14">
      <c r="I46" s="36"/>
      <c r="N46" s="54"/>
    </row>
    <row r="47" spans="5:14">
      <c r="I47" s="36"/>
      <c r="N47" s="54"/>
    </row>
    <row r="48" spans="5:14">
      <c r="I48" s="36"/>
    </row>
    <row r="49" spans="9:13">
      <c r="I49" s="36"/>
    </row>
    <row r="54" spans="9:13">
      <c r="K54" s="54"/>
    </row>
    <row r="55" spans="9:13">
      <c r="K55" s="54"/>
    </row>
    <row r="56" spans="9:13">
      <c r="L56" s="54"/>
      <c r="M56" s="54"/>
    </row>
    <row r="57" spans="9:13">
      <c r="L57" s="54"/>
      <c r="M57" s="54"/>
    </row>
  </sheetData>
  <mergeCells count="2">
    <mergeCell ref="K12:K13"/>
    <mergeCell ref="L12:L13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N57"/>
  <sheetViews>
    <sheetView workbookViewId="0"/>
  </sheetViews>
  <sheetFormatPr defaultRowHeight="13.5"/>
  <cols>
    <col min="1" max="1" width="4.375" style="35" customWidth="1"/>
    <col min="2" max="2" width="6.375" style="35" bestFit="1" customWidth="1"/>
    <col min="3" max="3" width="13.875" style="36" bestFit="1" customWidth="1"/>
    <col min="4" max="4" width="6.375" style="37" bestFit="1" customWidth="1"/>
    <col min="5" max="5" width="9.25" style="35" bestFit="1" customWidth="1"/>
    <col min="6" max="6" width="6" style="38" bestFit="1" customWidth="1"/>
    <col min="7" max="7" width="6" style="36" bestFit="1" customWidth="1"/>
    <col min="8" max="8" width="8.375" style="36" bestFit="1" customWidth="1"/>
    <col min="9" max="9" width="9.625" style="35" bestFit="1" customWidth="1"/>
    <col min="10" max="10" width="5.5" style="35" customWidth="1"/>
    <col min="11" max="11" width="8" style="35" bestFit="1" customWidth="1"/>
    <col min="12" max="12" width="13.875" style="35" bestFit="1" customWidth="1"/>
    <col min="13" max="13" width="13.75" style="35" bestFit="1" customWidth="1"/>
    <col min="14" max="14" width="13.875" style="35" bestFit="1" customWidth="1"/>
    <col min="15" max="254" width="9" style="35"/>
    <col min="255" max="255" width="4.375" style="35" customWidth="1"/>
    <col min="256" max="256" width="12.75" style="35" bestFit="1" customWidth="1"/>
    <col min="257" max="257" width="17" style="35" bestFit="1" customWidth="1"/>
    <col min="258" max="258" width="14" style="35" customWidth="1"/>
    <col min="259" max="263" width="14.25" style="35" bestFit="1" customWidth="1"/>
    <col min="264" max="264" width="12.75" style="35" customWidth="1"/>
    <col min="265" max="265" width="5.5" style="35" customWidth="1"/>
    <col min="266" max="266" width="10.625" style="35" customWidth="1"/>
    <col min="267" max="267" width="11.75" style="35" bestFit="1" customWidth="1"/>
    <col min="268" max="268" width="14.25" style="35" bestFit="1" customWidth="1"/>
    <col min="269" max="269" width="10.375" style="35" customWidth="1"/>
    <col min="270" max="510" width="9" style="35"/>
    <col min="511" max="511" width="4.375" style="35" customWidth="1"/>
    <col min="512" max="512" width="12.75" style="35" bestFit="1" customWidth="1"/>
    <col min="513" max="513" width="17" style="35" bestFit="1" customWidth="1"/>
    <col min="514" max="514" width="14" style="35" customWidth="1"/>
    <col min="515" max="519" width="14.25" style="35" bestFit="1" customWidth="1"/>
    <col min="520" max="520" width="12.75" style="35" customWidth="1"/>
    <col min="521" max="521" width="5.5" style="35" customWidth="1"/>
    <col min="522" max="522" width="10.625" style="35" customWidth="1"/>
    <col min="523" max="523" width="11.75" style="35" bestFit="1" customWidth="1"/>
    <col min="524" max="524" width="14.25" style="35" bestFit="1" customWidth="1"/>
    <col min="525" max="525" width="10.375" style="35" customWidth="1"/>
    <col min="526" max="766" width="9" style="35"/>
    <col min="767" max="767" width="4.375" style="35" customWidth="1"/>
    <col min="768" max="768" width="12.75" style="35" bestFit="1" customWidth="1"/>
    <col min="769" max="769" width="17" style="35" bestFit="1" customWidth="1"/>
    <col min="770" max="770" width="14" style="35" customWidth="1"/>
    <col min="771" max="775" width="14.25" style="35" bestFit="1" customWidth="1"/>
    <col min="776" max="776" width="12.75" style="35" customWidth="1"/>
    <col min="777" max="777" width="5.5" style="35" customWidth="1"/>
    <col min="778" max="778" width="10.625" style="35" customWidth="1"/>
    <col min="779" max="779" width="11.75" style="35" bestFit="1" customWidth="1"/>
    <col min="780" max="780" width="14.25" style="35" bestFit="1" customWidth="1"/>
    <col min="781" max="781" width="10.375" style="35" customWidth="1"/>
    <col min="782" max="1022" width="9" style="35"/>
    <col min="1023" max="1023" width="4.375" style="35" customWidth="1"/>
    <col min="1024" max="1024" width="12.75" style="35" bestFit="1" customWidth="1"/>
    <col min="1025" max="1025" width="17" style="35" bestFit="1" customWidth="1"/>
    <col min="1026" max="1026" width="14" style="35" customWidth="1"/>
    <col min="1027" max="1031" width="14.25" style="35" bestFit="1" customWidth="1"/>
    <col min="1032" max="1032" width="12.75" style="35" customWidth="1"/>
    <col min="1033" max="1033" width="5.5" style="35" customWidth="1"/>
    <col min="1034" max="1034" width="10.625" style="35" customWidth="1"/>
    <col min="1035" max="1035" width="11.75" style="35" bestFit="1" customWidth="1"/>
    <col min="1036" max="1036" width="14.25" style="35" bestFit="1" customWidth="1"/>
    <col min="1037" max="1037" width="10.375" style="35" customWidth="1"/>
    <col min="1038" max="1278" width="9" style="35"/>
    <col min="1279" max="1279" width="4.375" style="35" customWidth="1"/>
    <col min="1280" max="1280" width="12.75" style="35" bestFit="1" customWidth="1"/>
    <col min="1281" max="1281" width="17" style="35" bestFit="1" customWidth="1"/>
    <col min="1282" max="1282" width="14" style="35" customWidth="1"/>
    <col min="1283" max="1287" width="14.25" style="35" bestFit="1" customWidth="1"/>
    <col min="1288" max="1288" width="12.75" style="35" customWidth="1"/>
    <col min="1289" max="1289" width="5.5" style="35" customWidth="1"/>
    <col min="1290" max="1290" width="10.625" style="35" customWidth="1"/>
    <col min="1291" max="1291" width="11.75" style="35" bestFit="1" customWidth="1"/>
    <col min="1292" max="1292" width="14.25" style="35" bestFit="1" customWidth="1"/>
    <col min="1293" max="1293" width="10.375" style="35" customWidth="1"/>
    <col min="1294" max="1534" width="9" style="35"/>
    <col min="1535" max="1535" width="4.375" style="35" customWidth="1"/>
    <col min="1536" max="1536" width="12.75" style="35" bestFit="1" customWidth="1"/>
    <col min="1537" max="1537" width="17" style="35" bestFit="1" customWidth="1"/>
    <col min="1538" max="1538" width="14" style="35" customWidth="1"/>
    <col min="1539" max="1543" width="14.25" style="35" bestFit="1" customWidth="1"/>
    <col min="1544" max="1544" width="12.75" style="35" customWidth="1"/>
    <col min="1545" max="1545" width="5.5" style="35" customWidth="1"/>
    <col min="1546" max="1546" width="10.625" style="35" customWidth="1"/>
    <col min="1547" max="1547" width="11.75" style="35" bestFit="1" customWidth="1"/>
    <col min="1548" max="1548" width="14.25" style="35" bestFit="1" customWidth="1"/>
    <col min="1549" max="1549" width="10.375" style="35" customWidth="1"/>
    <col min="1550" max="1790" width="9" style="35"/>
    <col min="1791" max="1791" width="4.375" style="35" customWidth="1"/>
    <col min="1792" max="1792" width="12.75" style="35" bestFit="1" customWidth="1"/>
    <col min="1793" max="1793" width="17" style="35" bestFit="1" customWidth="1"/>
    <col min="1794" max="1794" width="14" style="35" customWidth="1"/>
    <col min="1795" max="1799" width="14.25" style="35" bestFit="1" customWidth="1"/>
    <col min="1800" max="1800" width="12.75" style="35" customWidth="1"/>
    <col min="1801" max="1801" width="5.5" style="35" customWidth="1"/>
    <col min="1802" max="1802" width="10.625" style="35" customWidth="1"/>
    <col min="1803" max="1803" width="11.75" style="35" bestFit="1" customWidth="1"/>
    <col min="1804" max="1804" width="14.25" style="35" bestFit="1" customWidth="1"/>
    <col min="1805" max="1805" width="10.375" style="35" customWidth="1"/>
    <col min="1806" max="2046" width="9" style="35"/>
    <col min="2047" max="2047" width="4.375" style="35" customWidth="1"/>
    <col min="2048" max="2048" width="12.75" style="35" bestFit="1" customWidth="1"/>
    <col min="2049" max="2049" width="17" style="35" bestFit="1" customWidth="1"/>
    <col min="2050" max="2050" width="14" style="35" customWidth="1"/>
    <col min="2051" max="2055" width="14.25" style="35" bestFit="1" customWidth="1"/>
    <col min="2056" max="2056" width="12.75" style="35" customWidth="1"/>
    <col min="2057" max="2057" width="5.5" style="35" customWidth="1"/>
    <col min="2058" max="2058" width="10.625" style="35" customWidth="1"/>
    <col min="2059" max="2059" width="11.75" style="35" bestFit="1" customWidth="1"/>
    <col min="2060" max="2060" width="14.25" style="35" bestFit="1" customWidth="1"/>
    <col min="2061" max="2061" width="10.375" style="35" customWidth="1"/>
    <col min="2062" max="2302" width="9" style="35"/>
    <col min="2303" max="2303" width="4.375" style="35" customWidth="1"/>
    <col min="2304" max="2304" width="12.75" style="35" bestFit="1" customWidth="1"/>
    <col min="2305" max="2305" width="17" style="35" bestFit="1" customWidth="1"/>
    <col min="2306" max="2306" width="14" style="35" customWidth="1"/>
    <col min="2307" max="2311" width="14.25" style="35" bestFit="1" customWidth="1"/>
    <col min="2312" max="2312" width="12.75" style="35" customWidth="1"/>
    <col min="2313" max="2313" width="5.5" style="35" customWidth="1"/>
    <col min="2314" max="2314" width="10.625" style="35" customWidth="1"/>
    <col min="2315" max="2315" width="11.75" style="35" bestFit="1" customWidth="1"/>
    <col min="2316" max="2316" width="14.25" style="35" bestFit="1" customWidth="1"/>
    <col min="2317" max="2317" width="10.375" style="35" customWidth="1"/>
    <col min="2318" max="2558" width="9" style="35"/>
    <col min="2559" max="2559" width="4.375" style="35" customWidth="1"/>
    <col min="2560" max="2560" width="12.75" style="35" bestFit="1" customWidth="1"/>
    <col min="2561" max="2561" width="17" style="35" bestFit="1" customWidth="1"/>
    <col min="2562" max="2562" width="14" style="35" customWidth="1"/>
    <col min="2563" max="2567" width="14.25" style="35" bestFit="1" customWidth="1"/>
    <col min="2568" max="2568" width="12.75" style="35" customWidth="1"/>
    <col min="2569" max="2569" width="5.5" style="35" customWidth="1"/>
    <col min="2570" max="2570" width="10.625" style="35" customWidth="1"/>
    <col min="2571" max="2571" width="11.75" style="35" bestFit="1" customWidth="1"/>
    <col min="2572" max="2572" width="14.25" style="35" bestFit="1" customWidth="1"/>
    <col min="2573" max="2573" width="10.375" style="35" customWidth="1"/>
    <col min="2574" max="2814" width="9" style="35"/>
    <col min="2815" max="2815" width="4.375" style="35" customWidth="1"/>
    <col min="2816" max="2816" width="12.75" style="35" bestFit="1" customWidth="1"/>
    <col min="2817" max="2817" width="17" style="35" bestFit="1" customWidth="1"/>
    <col min="2818" max="2818" width="14" style="35" customWidth="1"/>
    <col min="2819" max="2823" width="14.25" style="35" bestFit="1" customWidth="1"/>
    <col min="2824" max="2824" width="12.75" style="35" customWidth="1"/>
    <col min="2825" max="2825" width="5.5" style="35" customWidth="1"/>
    <col min="2826" max="2826" width="10.625" style="35" customWidth="1"/>
    <col min="2827" max="2827" width="11.75" style="35" bestFit="1" customWidth="1"/>
    <col min="2828" max="2828" width="14.25" style="35" bestFit="1" customWidth="1"/>
    <col min="2829" max="2829" width="10.375" style="35" customWidth="1"/>
    <col min="2830" max="3070" width="9" style="35"/>
    <col min="3071" max="3071" width="4.375" style="35" customWidth="1"/>
    <col min="3072" max="3072" width="12.75" style="35" bestFit="1" customWidth="1"/>
    <col min="3073" max="3073" width="17" style="35" bestFit="1" customWidth="1"/>
    <col min="3074" max="3074" width="14" style="35" customWidth="1"/>
    <col min="3075" max="3079" width="14.25" style="35" bestFit="1" customWidth="1"/>
    <col min="3080" max="3080" width="12.75" style="35" customWidth="1"/>
    <col min="3081" max="3081" width="5.5" style="35" customWidth="1"/>
    <col min="3082" max="3082" width="10.625" style="35" customWidth="1"/>
    <col min="3083" max="3083" width="11.75" style="35" bestFit="1" customWidth="1"/>
    <col min="3084" max="3084" width="14.25" style="35" bestFit="1" customWidth="1"/>
    <col min="3085" max="3085" width="10.375" style="35" customWidth="1"/>
    <col min="3086" max="3326" width="9" style="35"/>
    <col min="3327" max="3327" width="4.375" style="35" customWidth="1"/>
    <col min="3328" max="3328" width="12.75" style="35" bestFit="1" customWidth="1"/>
    <col min="3329" max="3329" width="17" style="35" bestFit="1" customWidth="1"/>
    <col min="3330" max="3330" width="14" style="35" customWidth="1"/>
    <col min="3331" max="3335" width="14.25" style="35" bestFit="1" customWidth="1"/>
    <col min="3336" max="3336" width="12.75" style="35" customWidth="1"/>
    <col min="3337" max="3337" width="5.5" style="35" customWidth="1"/>
    <col min="3338" max="3338" width="10.625" style="35" customWidth="1"/>
    <col min="3339" max="3339" width="11.75" style="35" bestFit="1" customWidth="1"/>
    <col min="3340" max="3340" width="14.25" style="35" bestFit="1" customWidth="1"/>
    <col min="3341" max="3341" width="10.375" style="35" customWidth="1"/>
    <col min="3342" max="3582" width="9" style="35"/>
    <col min="3583" max="3583" width="4.375" style="35" customWidth="1"/>
    <col min="3584" max="3584" width="12.75" style="35" bestFit="1" customWidth="1"/>
    <col min="3585" max="3585" width="17" style="35" bestFit="1" customWidth="1"/>
    <col min="3586" max="3586" width="14" style="35" customWidth="1"/>
    <col min="3587" max="3591" width="14.25" style="35" bestFit="1" customWidth="1"/>
    <col min="3592" max="3592" width="12.75" style="35" customWidth="1"/>
    <col min="3593" max="3593" width="5.5" style="35" customWidth="1"/>
    <col min="3594" max="3594" width="10.625" style="35" customWidth="1"/>
    <col min="3595" max="3595" width="11.75" style="35" bestFit="1" customWidth="1"/>
    <col min="3596" max="3596" width="14.25" style="35" bestFit="1" customWidth="1"/>
    <col min="3597" max="3597" width="10.375" style="35" customWidth="1"/>
    <col min="3598" max="3838" width="9" style="35"/>
    <col min="3839" max="3839" width="4.375" style="35" customWidth="1"/>
    <col min="3840" max="3840" width="12.75" style="35" bestFit="1" customWidth="1"/>
    <col min="3841" max="3841" width="17" style="35" bestFit="1" customWidth="1"/>
    <col min="3842" max="3842" width="14" style="35" customWidth="1"/>
    <col min="3843" max="3847" width="14.25" style="35" bestFit="1" customWidth="1"/>
    <col min="3848" max="3848" width="12.75" style="35" customWidth="1"/>
    <col min="3849" max="3849" width="5.5" style="35" customWidth="1"/>
    <col min="3850" max="3850" width="10.625" style="35" customWidth="1"/>
    <col min="3851" max="3851" width="11.75" style="35" bestFit="1" customWidth="1"/>
    <col min="3852" max="3852" width="14.25" style="35" bestFit="1" customWidth="1"/>
    <col min="3853" max="3853" width="10.375" style="35" customWidth="1"/>
    <col min="3854" max="4094" width="9" style="35"/>
    <col min="4095" max="4095" width="4.375" style="35" customWidth="1"/>
    <col min="4096" max="4096" width="12.75" style="35" bestFit="1" customWidth="1"/>
    <col min="4097" max="4097" width="17" style="35" bestFit="1" customWidth="1"/>
    <col min="4098" max="4098" width="14" style="35" customWidth="1"/>
    <col min="4099" max="4103" width="14.25" style="35" bestFit="1" customWidth="1"/>
    <col min="4104" max="4104" width="12.75" style="35" customWidth="1"/>
    <col min="4105" max="4105" width="5.5" style="35" customWidth="1"/>
    <col min="4106" max="4106" width="10.625" style="35" customWidth="1"/>
    <col min="4107" max="4107" width="11.75" style="35" bestFit="1" customWidth="1"/>
    <col min="4108" max="4108" width="14.25" style="35" bestFit="1" customWidth="1"/>
    <col min="4109" max="4109" width="10.375" style="35" customWidth="1"/>
    <col min="4110" max="4350" width="9" style="35"/>
    <col min="4351" max="4351" width="4.375" style="35" customWidth="1"/>
    <col min="4352" max="4352" width="12.75" style="35" bestFit="1" customWidth="1"/>
    <col min="4353" max="4353" width="17" style="35" bestFit="1" customWidth="1"/>
    <col min="4354" max="4354" width="14" style="35" customWidth="1"/>
    <col min="4355" max="4359" width="14.25" style="35" bestFit="1" customWidth="1"/>
    <col min="4360" max="4360" width="12.75" style="35" customWidth="1"/>
    <col min="4361" max="4361" width="5.5" style="35" customWidth="1"/>
    <col min="4362" max="4362" width="10.625" style="35" customWidth="1"/>
    <col min="4363" max="4363" width="11.75" style="35" bestFit="1" customWidth="1"/>
    <col min="4364" max="4364" width="14.25" style="35" bestFit="1" customWidth="1"/>
    <col min="4365" max="4365" width="10.375" style="35" customWidth="1"/>
    <col min="4366" max="4606" width="9" style="35"/>
    <col min="4607" max="4607" width="4.375" style="35" customWidth="1"/>
    <col min="4608" max="4608" width="12.75" style="35" bestFit="1" customWidth="1"/>
    <col min="4609" max="4609" width="17" style="35" bestFit="1" customWidth="1"/>
    <col min="4610" max="4610" width="14" style="35" customWidth="1"/>
    <col min="4611" max="4615" width="14.25" style="35" bestFit="1" customWidth="1"/>
    <col min="4616" max="4616" width="12.75" style="35" customWidth="1"/>
    <col min="4617" max="4617" width="5.5" style="35" customWidth="1"/>
    <col min="4618" max="4618" width="10.625" style="35" customWidth="1"/>
    <col min="4619" max="4619" width="11.75" style="35" bestFit="1" customWidth="1"/>
    <col min="4620" max="4620" width="14.25" style="35" bestFit="1" customWidth="1"/>
    <col min="4621" max="4621" width="10.375" style="35" customWidth="1"/>
    <col min="4622" max="4862" width="9" style="35"/>
    <col min="4863" max="4863" width="4.375" style="35" customWidth="1"/>
    <col min="4864" max="4864" width="12.75" style="35" bestFit="1" customWidth="1"/>
    <col min="4865" max="4865" width="17" style="35" bestFit="1" customWidth="1"/>
    <col min="4866" max="4866" width="14" style="35" customWidth="1"/>
    <col min="4867" max="4871" width="14.25" style="35" bestFit="1" customWidth="1"/>
    <col min="4872" max="4872" width="12.75" style="35" customWidth="1"/>
    <col min="4873" max="4873" width="5.5" style="35" customWidth="1"/>
    <col min="4874" max="4874" width="10.625" style="35" customWidth="1"/>
    <col min="4875" max="4875" width="11.75" style="35" bestFit="1" customWidth="1"/>
    <col min="4876" max="4876" width="14.25" style="35" bestFit="1" customWidth="1"/>
    <col min="4877" max="4877" width="10.375" style="35" customWidth="1"/>
    <col min="4878" max="5118" width="9" style="35"/>
    <col min="5119" max="5119" width="4.375" style="35" customWidth="1"/>
    <col min="5120" max="5120" width="12.75" style="35" bestFit="1" customWidth="1"/>
    <col min="5121" max="5121" width="17" style="35" bestFit="1" customWidth="1"/>
    <col min="5122" max="5122" width="14" style="35" customWidth="1"/>
    <col min="5123" max="5127" width="14.25" style="35" bestFit="1" customWidth="1"/>
    <col min="5128" max="5128" width="12.75" style="35" customWidth="1"/>
    <col min="5129" max="5129" width="5.5" style="35" customWidth="1"/>
    <col min="5130" max="5130" width="10.625" style="35" customWidth="1"/>
    <col min="5131" max="5131" width="11.75" style="35" bestFit="1" customWidth="1"/>
    <col min="5132" max="5132" width="14.25" style="35" bestFit="1" customWidth="1"/>
    <col min="5133" max="5133" width="10.375" style="35" customWidth="1"/>
    <col min="5134" max="5374" width="9" style="35"/>
    <col min="5375" max="5375" width="4.375" style="35" customWidth="1"/>
    <col min="5376" max="5376" width="12.75" style="35" bestFit="1" customWidth="1"/>
    <col min="5377" max="5377" width="17" style="35" bestFit="1" customWidth="1"/>
    <col min="5378" max="5378" width="14" style="35" customWidth="1"/>
    <col min="5379" max="5383" width="14.25" style="35" bestFit="1" customWidth="1"/>
    <col min="5384" max="5384" width="12.75" style="35" customWidth="1"/>
    <col min="5385" max="5385" width="5.5" style="35" customWidth="1"/>
    <col min="5386" max="5386" width="10.625" style="35" customWidth="1"/>
    <col min="5387" max="5387" width="11.75" style="35" bestFit="1" customWidth="1"/>
    <col min="5388" max="5388" width="14.25" style="35" bestFit="1" customWidth="1"/>
    <col min="5389" max="5389" width="10.375" style="35" customWidth="1"/>
    <col min="5390" max="5630" width="9" style="35"/>
    <col min="5631" max="5631" width="4.375" style="35" customWidth="1"/>
    <col min="5632" max="5632" width="12.75" style="35" bestFit="1" customWidth="1"/>
    <col min="5633" max="5633" width="17" style="35" bestFit="1" customWidth="1"/>
    <col min="5634" max="5634" width="14" style="35" customWidth="1"/>
    <col min="5635" max="5639" width="14.25" style="35" bestFit="1" customWidth="1"/>
    <col min="5640" max="5640" width="12.75" style="35" customWidth="1"/>
    <col min="5641" max="5641" width="5.5" style="35" customWidth="1"/>
    <col min="5642" max="5642" width="10.625" style="35" customWidth="1"/>
    <col min="5643" max="5643" width="11.75" style="35" bestFit="1" customWidth="1"/>
    <col min="5644" max="5644" width="14.25" style="35" bestFit="1" customWidth="1"/>
    <col min="5645" max="5645" width="10.375" style="35" customWidth="1"/>
    <col min="5646" max="5886" width="9" style="35"/>
    <col min="5887" max="5887" width="4.375" style="35" customWidth="1"/>
    <col min="5888" max="5888" width="12.75" style="35" bestFit="1" customWidth="1"/>
    <col min="5889" max="5889" width="17" style="35" bestFit="1" customWidth="1"/>
    <col min="5890" max="5890" width="14" style="35" customWidth="1"/>
    <col min="5891" max="5895" width="14.25" style="35" bestFit="1" customWidth="1"/>
    <col min="5896" max="5896" width="12.75" style="35" customWidth="1"/>
    <col min="5897" max="5897" width="5.5" style="35" customWidth="1"/>
    <col min="5898" max="5898" width="10.625" style="35" customWidth="1"/>
    <col min="5899" max="5899" width="11.75" style="35" bestFit="1" customWidth="1"/>
    <col min="5900" max="5900" width="14.25" style="35" bestFit="1" customWidth="1"/>
    <col min="5901" max="5901" width="10.375" style="35" customWidth="1"/>
    <col min="5902" max="6142" width="9" style="35"/>
    <col min="6143" max="6143" width="4.375" style="35" customWidth="1"/>
    <col min="6144" max="6144" width="12.75" style="35" bestFit="1" customWidth="1"/>
    <col min="6145" max="6145" width="17" style="35" bestFit="1" customWidth="1"/>
    <col min="6146" max="6146" width="14" style="35" customWidth="1"/>
    <col min="6147" max="6151" width="14.25" style="35" bestFit="1" customWidth="1"/>
    <col min="6152" max="6152" width="12.75" style="35" customWidth="1"/>
    <col min="6153" max="6153" width="5.5" style="35" customWidth="1"/>
    <col min="6154" max="6154" width="10.625" style="35" customWidth="1"/>
    <col min="6155" max="6155" width="11.75" style="35" bestFit="1" customWidth="1"/>
    <col min="6156" max="6156" width="14.25" style="35" bestFit="1" customWidth="1"/>
    <col min="6157" max="6157" width="10.375" style="35" customWidth="1"/>
    <col min="6158" max="6398" width="9" style="35"/>
    <col min="6399" max="6399" width="4.375" style="35" customWidth="1"/>
    <col min="6400" max="6400" width="12.75" style="35" bestFit="1" customWidth="1"/>
    <col min="6401" max="6401" width="17" style="35" bestFit="1" customWidth="1"/>
    <col min="6402" max="6402" width="14" style="35" customWidth="1"/>
    <col min="6403" max="6407" width="14.25" style="35" bestFit="1" customWidth="1"/>
    <col min="6408" max="6408" width="12.75" style="35" customWidth="1"/>
    <col min="6409" max="6409" width="5.5" style="35" customWidth="1"/>
    <col min="6410" max="6410" width="10.625" style="35" customWidth="1"/>
    <col min="6411" max="6411" width="11.75" style="35" bestFit="1" customWidth="1"/>
    <col min="6412" max="6412" width="14.25" style="35" bestFit="1" customWidth="1"/>
    <col min="6413" max="6413" width="10.375" style="35" customWidth="1"/>
    <col min="6414" max="6654" width="9" style="35"/>
    <col min="6655" max="6655" width="4.375" style="35" customWidth="1"/>
    <col min="6656" max="6656" width="12.75" style="35" bestFit="1" customWidth="1"/>
    <col min="6657" max="6657" width="17" style="35" bestFit="1" customWidth="1"/>
    <col min="6658" max="6658" width="14" style="35" customWidth="1"/>
    <col min="6659" max="6663" width="14.25" style="35" bestFit="1" customWidth="1"/>
    <col min="6664" max="6664" width="12.75" style="35" customWidth="1"/>
    <col min="6665" max="6665" width="5.5" style="35" customWidth="1"/>
    <col min="6666" max="6666" width="10.625" style="35" customWidth="1"/>
    <col min="6667" max="6667" width="11.75" style="35" bestFit="1" customWidth="1"/>
    <col min="6668" max="6668" width="14.25" style="35" bestFit="1" customWidth="1"/>
    <col min="6669" max="6669" width="10.375" style="35" customWidth="1"/>
    <col min="6670" max="6910" width="9" style="35"/>
    <col min="6911" max="6911" width="4.375" style="35" customWidth="1"/>
    <col min="6912" max="6912" width="12.75" style="35" bestFit="1" customWidth="1"/>
    <col min="6913" max="6913" width="17" style="35" bestFit="1" customWidth="1"/>
    <col min="6914" max="6914" width="14" style="35" customWidth="1"/>
    <col min="6915" max="6919" width="14.25" style="35" bestFit="1" customWidth="1"/>
    <col min="6920" max="6920" width="12.75" style="35" customWidth="1"/>
    <col min="6921" max="6921" width="5.5" style="35" customWidth="1"/>
    <col min="6922" max="6922" width="10.625" style="35" customWidth="1"/>
    <col min="6923" max="6923" width="11.75" style="35" bestFit="1" customWidth="1"/>
    <col min="6924" max="6924" width="14.25" style="35" bestFit="1" customWidth="1"/>
    <col min="6925" max="6925" width="10.375" style="35" customWidth="1"/>
    <col min="6926" max="7166" width="9" style="35"/>
    <col min="7167" max="7167" width="4.375" style="35" customWidth="1"/>
    <col min="7168" max="7168" width="12.75" style="35" bestFit="1" customWidth="1"/>
    <col min="7169" max="7169" width="17" style="35" bestFit="1" customWidth="1"/>
    <col min="7170" max="7170" width="14" style="35" customWidth="1"/>
    <col min="7171" max="7175" width="14.25" style="35" bestFit="1" customWidth="1"/>
    <col min="7176" max="7176" width="12.75" style="35" customWidth="1"/>
    <col min="7177" max="7177" width="5.5" style="35" customWidth="1"/>
    <col min="7178" max="7178" width="10.625" style="35" customWidth="1"/>
    <col min="7179" max="7179" width="11.75" style="35" bestFit="1" customWidth="1"/>
    <col min="7180" max="7180" width="14.25" style="35" bestFit="1" customWidth="1"/>
    <col min="7181" max="7181" width="10.375" style="35" customWidth="1"/>
    <col min="7182" max="7422" width="9" style="35"/>
    <col min="7423" max="7423" width="4.375" style="35" customWidth="1"/>
    <col min="7424" max="7424" width="12.75" style="35" bestFit="1" customWidth="1"/>
    <col min="7425" max="7425" width="17" style="35" bestFit="1" customWidth="1"/>
    <col min="7426" max="7426" width="14" style="35" customWidth="1"/>
    <col min="7427" max="7431" width="14.25" style="35" bestFit="1" customWidth="1"/>
    <col min="7432" max="7432" width="12.75" style="35" customWidth="1"/>
    <col min="7433" max="7433" width="5.5" style="35" customWidth="1"/>
    <col min="7434" max="7434" width="10.625" style="35" customWidth="1"/>
    <col min="7435" max="7435" width="11.75" style="35" bestFit="1" customWidth="1"/>
    <col min="7436" max="7436" width="14.25" style="35" bestFit="1" customWidth="1"/>
    <col min="7437" max="7437" width="10.375" style="35" customWidth="1"/>
    <col min="7438" max="7678" width="9" style="35"/>
    <col min="7679" max="7679" width="4.375" style="35" customWidth="1"/>
    <col min="7680" max="7680" width="12.75" style="35" bestFit="1" customWidth="1"/>
    <col min="7681" max="7681" width="17" style="35" bestFit="1" customWidth="1"/>
    <col min="7682" max="7682" width="14" style="35" customWidth="1"/>
    <col min="7683" max="7687" width="14.25" style="35" bestFit="1" customWidth="1"/>
    <col min="7688" max="7688" width="12.75" style="35" customWidth="1"/>
    <col min="7689" max="7689" width="5.5" style="35" customWidth="1"/>
    <col min="7690" max="7690" width="10.625" style="35" customWidth="1"/>
    <col min="7691" max="7691" width="11.75" style="35" bestFit="1" customWidth="1"/>
    <col min="7692" max="7692" width="14.25" style="35" bestFit="1" customWidth="1"/>
    <col min="7693" max="7693" width="10.375" style="35" customWidth="1"/>
    <col min="7694" max="7934" width="9" style="35"/>
    <col min="7935" max="7935" width="4.375" style="35" customWidth="1"/>
    <col min="7936" max="7936" width="12.75" style="35" bestFit="1" customWidth="1"/>
    <col min="7937" max="7937" width="17" style="35" bestFit="1" customWidth="1"/>
    <col min="7938" max="7938" width="14" style="35" customWidth="1"/>
    <col min="7939" max="7943" width="14.25" style="35" bestFit="1" customWidth="1"/>
    <col min="7944" max="7944" width="12.75" style="35" customWidth="1"/>
    <col min="7945" max="7945" width="5.5" style="35" customWidth="1"/>
    <col min="7946" max="7946" width="10.625" style="35" customWidth="1"/>
    <col min="7947" max="7947" width="11.75" style="35" bestFit="1" customWidth="1"/>
    <col min="7948" max="7948" width="14.25" style="35" bestFit="1" customWidth="1"/>
    <col min="7949" max="7949" width="10.375" style="35" customWidth="1"/>
    <col min="7950" max="8190" width="9" style="35"/>
    <col min="8191" max="8191" width="4.375" style="35" customWidth="1"/>
    <col min="8192" max="8192" width="12.75" style="35" bestFit="1" customWidth="1"/>
    <col min="8193" max="8193" width="17" style="35" bestFit="1" customWidth="1"/>
    <col min="8194" max="8194" width="14" style="35" customWidth="1"/>
    <col min="8195" max="8199" width="14.25" style="35" bestFit="1" customWidth="1"/>
    <col min="8200" max="8200" width="12.75" style="35" customWidth="1"/>
    <col min="8201" max="8201" width="5.5" style="35" customWidth="1"/>
    <col min="8202" max="8202" width="10.625" style="35" customWidth="1"/>
    <col min="8203" max="8203" width="11.75" style="35" bestFit="1" customWidth="1"/>
    <col min="8204" max="8204" width="14.25" style="35" bestFit="1" customWidth="1"/>
    <col min="8205" max="8205" width="10.375" style="35" customWidth="1"/>
    <col min="8206" max="8446" width="9" style="35"/>
    <col min="8447" max="8447" width="4.375" style="35" customWidth="1"/>
    <col min="8448" max="8448" width="12.75" style="35" bestFit="1" customWidth="1"/>
    <col min="8449" max="8449" width="17" style="35" bestFit="1" customWidth="1"/>
    <col min="8450" max="8450" width="14" style="35" customWidth="1"/>
    <col min="8451" max="8455" width="14.25" style="35" bestFit="1" customWidth="1"/>
    <col min="8456" max="8456" width="12.75" style="35" customWidth="1"/>
    <col min="8457" max="8457" width="5.5" style="35" customWidth="1"/>
    <col min="8458" max="8458" width="10.625" style="35" customWidth="1"/>
    <col min="8459" max="8459" width="11.75" style="35" bestFit="1" customWidth="1"/>
    <col min="8460" max="8460" width="14.25" style="35" bestFit="1" customWidth="1"/>
    <col min="8461" max="8461" width="10.375" style="35" customWidth="1"/>
    <col min="8462" max="8702" width="9" style="35"/>
    <col min="8703" max="8703" width="4.375" style="35" customWidth="1"/>
    <col min="8704" max="8704" width="12.75" style="35" bestFit="1" customWidth="1"/>
    <col min="8705" max="8705" width="17" style="35" bestFit="1" customWidth="1"/>
    <col min="8706" max="8706" width="14" style="35" customWidth="1"/>
    <col min="8707" max="8711" width="14.25" style="35" bestFit="1" customWidth="1"/>
    <col min="8712" max="8712" width="12.75" style="35" customWidth="1"/>
    <col min="8713" max="8713" width="5.5" style="35" customWidth="1"/>
    <col min="8714" max="8714" width="10.625" style="35" customWidth="1"/>
    <col min="8715" max="8715" width="11.75" style="35" bestFit="1" customWidth="1"/>
    <col min="8716" max="8716" width="14.25" style="35" bestFit="1" customWidth="1"/>
    <col min="8717" max="8717" width="10.375" style="35" customWidth="1"/>
    <col min="8718" max="8958" width="9" style="35"/>
    <col min="8959" max="8959" width="4.375" style="35" customWidth="1"/>
    <col min="8960" max="8960" width="12.75" style="35" bestFit="1" customWidth="1"/>
    <col min="8961" max="8961" width="17" style="35" bestFit="1" customWidth="1"/>
    <col min="8962" max="8962" width="14" style="35" customWidth="1"/>
    <col min="8963" max="8967" width="14.25" style="35" bestFit="1" customWidth="1"/>
    <col min="8968" max="8968" width="12.75" style="35" customWidth="1"/>
    <col min="8969" max="8969" width="5.5" style="35" customWidth="1"/>
    <col min="8970" max="8970" width="10.625" style="35" customWidth="1"/>
    <col min="8971" max="8971" width="11.75" style="35" bestFit="1" customWidth="1"/>
    <col min="8972" max="8972" width="14.25" style="35" bestFit="1" customWidth="1"/>
    <col min="8973" max="8973" width="10.375" style="35" customWidth="1"/>
    <col min="8974" max="9214" width="9" style="35"/>
    <col min="9215" max="9215" width="4.375" style="35" customWidth="1"/>
    <col min="9216" max="9216" width="12.75" style="35" bestFit="1" customWidth="1"/>
    <col min="9217" max="9217" width="17" style="35" bestFit="1" customWidth="1"/>
    <col min="9218" max="9218" width="14" style="35" customWidth="1"/>
    <col min="9219" max="9223" width="14.25" style="35" bestFit="1" customWidth="1"/>
    <col min="9224" max="9224" width="12.75" style="35" customWidth="1"/>
    <col min="9225" max="9225" width="5.5" style="35" customWidth="1"/>
    <col min="9226" max="9226" width="10.625" style="35" customWidth="1"/>
    <col min="9227" max="9227" width="11.75" style="35" bestFit="1" customWidth="1"/>
    <col min="9228" max="9228" width="14.25" style="35" bestFit="1" customWidth="1"/>
    <col min="9229" max="9229" width="10.375" style="35" customWidth="1"/>
    <col min="9230" max="9470" width="9" style="35"/>
    <col min="9471" max="9471" width="4.375" style="35" customWidth="1"/>
    <col min="9472" max="9472" width="12.75" style="35" bestFit="1" customWidth="1"/>
    <col min="9473" max="9473" width="17" style="35" bestFit="1" customWidth="1"/>
    <col min="9474" max="9474" width="14" style="35" customWidth="1"/>
    <col min="9475" max="9479" width="14.25" style="35" bestFit="1" customWidth="1"/>
    <col min="9480" max="9480" width="12.75" style="35" customWidth="1"/>
    <col min="9481" max="9481" width="5.5" style="35" customWidth="1"/>
    <col min="9482" max="9482" width="10.625" style="35" customWidth="1"/>
    <col min="9483" max="9483" width="11.75" style="35" bestFit="1" customWidth="1"/>
    <col min="9484" max="9484" width="14.25" style="35" bestFit="1" customWidth="1"/>
    <col min="9485" max="9485" width="10.375" style="35" customWidth="1"/>
    <col min="9486" max="9726" width="9" style="35"/>
    <col min="9727" max="9727" width="4.375" style="35" customWidth="1"/>
    <col min="9728" max="9728" width="12.75" style="35" bestFit="1" customWidth="1"/>
    <col min="9729" max="9729" width="17" style="35" bestFit="1" customWidth="1"/>
    <col min="9730" max="9730" width="14" style="35" customWidth="1"/>
    <col min="9731" max="9735" width="14.25" style="35" bestFit="1" customWidth="1"/>
    <col min="9736" max="9736" width="12.75" style="35" customWidth="1"/>
    <col min="9737" max="9737" width="5.5" style="35" customWidth="1"/>
    <col min="9738" max="9738" width="10.625" style="35" customWidth="1"/>
    <col min="9739" max="9739" width="11.75" style="35" bestFit="1" customWidth="1"/>
    <col min="9740" max="9740" width="14.25" style="35" bestFit="1" customWidth="1"/>
    <col min="9741" max="9741" width="10.375" style="35" customWidth="1"/>
    <col min="9742" max="9982" width="9" style="35"/>
    <col min="9983" max="9983" width="4.375" style="35" customWidth="1"/>
    <col min="9984" max="9984" width="12.75" style="35" bestFit="1" customWidth="1"/>
    <col min="9985" max="9985" width="17" style="35" bestFit="1" customWidth="1"/>
    <col min="9986" max="9986" width="14" style="35" customWidth="1"/>
    <col min="9987" max="9991" width="14.25" style="35" bestFit="1" customWidth="1"/>
    <col min="9992" max="9992" width="12.75" style="35" customWidth="1"/>
    <col min="9993" max="9993" width="5.5" style="35" customWidth="1"/>
    <col min="9994" max="9994" width="10.625" style="35" customWidth="1"/>
    <col min="9995" max="9995" width="11.75" style="35" bestFit="1" customWidth="1"/>
    <col min="9996" max="9996" width="14.25" style="35" bestFit="1" customWidth="1"/>
    <col min="9997" max="9997" width="10.375" style="35" customWidth="1"/>
    <col min="9998" max="10238" width="9" style="35"/>
    <col min="10239" max="10239" width="4.375" style="35" customWidth="1"/>
    <col min="10240" max="10240" width="12.75" style="35" bestFit="1" customWidth="1"/>
    <col min="10241" max="10241" width="17" style="35" bestFit="1" customWidth="1"/>
    <col min="10242" max="10242" width="14" style="35" customWidth="1"/>
    <col min="10243" max="10247" width="14.25" style="35" bestFit="1" customWidth="1"/>
    <col min="10248" max="10248" width="12.75" style="35" customWidth="1"/>
    <col min="10249" max="10249" width="5.5" style="35" customWidth="1"/>
    <col min="10250" max="10250" width="10.625" style="35" customWidth="1"/>
    <col min="10251" max="10251" width="11.75" style="35" bestFit="1" customWidth="1"/>
    <col min="10252" max="10252" width="14.25" style="35" bestFit="1" customWidth="1"/>
    <col min="10253" max="10253" width="10.375" style="35" customWidth="1"/>
    <col min="10254" max="10494" width="9" style="35"/>
    <col min="10495" max="10495" width="4.375" style="35" customWidth="1"/>
    <col min="10496" max="10496" width="12.75" style="35" bestFit="1" customWidth="1"/>
    <col min="10497" max="10497" width="17" style="35" bestFit="1" customWidth="1"/>
    <col min="10498" max="10498" width="14" style="35" customWidth="1"/>
    <col min="10499" max="10503" width="14.25" style="35" bestFit="1" customWidth="1"/>
    <col min="10504" max="10504" width="12.75" style="35" customWidth="1"/>
    <col min="10505" max="10505" width="5.5" style="35" customWidth="1"/>
    <col min="10506" max="10506" width="10.625" style="35" customWidth="1"/>
    <col min="10507" max="10507" width="11.75" style="35" bestFit="1" customWidth="1"/>
    <col min="10508" max="10508" width="14.25" style="35" bestFit="1" customWidth="1"/>
    <col min="10509" max="10509" width="10.375" style="35" customWidth="1"/>
    <col min="10510" max="10750" width="9" style="35"/>
    <col min="10751" max="10751" width="4.375" style="35" customWidth="1"/>
    <col min="10752" max="10752" width="12.75" style="35" bestFit="1" customWidth="1"/>
    <col min="10753" max="10753" width="17" style="35" bestFit="1" customWidth="1"/>
    <col min="10754" max="10754" width="14" style="35" customWidth="1"/>
    <col min="10755" max="10759" width="14.25" style="35" bestFit="1" customWidth="1"/>
    <col min="10760" max="10760" width="12.75" style="35" customWidth="1"/>
    <col min="10761" max="10761" width="5.5" style="35" customWidth="1"/>
    <col min="10762" max="10762" width="10.625" style="35" customWidth="1"/>
    <col min="10763" max="10763" width="11.75" style="35" bestFit="1" customWidth="1"/>
    <col min="10764" max="10764" width="14.25" style="35" bestFit="1" customWidth="1"/>
    <col min="10765" max="10765" width="10.375" style="35" customWidth="1"/>
    <col min="10766" max="11006" width="9" style="35"/>
    <col min="11007" max="11007" width="4.375" style="35" customWidth="1"/>
    <col min="11008" max="11008" width="12.75" style="35" bestFit="1" customWidth="1"/>
    <col min="11009" max="11009" width="17" style="35" bestFit="1" customWidth="1"/>
    <col min="11010" max="11010" width="14" style="35" customWidth="1"/>
    <col min="11011" max="11015" width="14.25" style="35" bestFit="1" customWidth="1"/>
    <col min="11016" max="11016" width="12.75" style="35" customWidth="1"/>
    <col min="11017" max="11017" width="5.5" style="35" customWidth="1"/>
    <col min="11018" max="11018" width="10.625" style="35" customWidth="1"/>
    <col min="11019" max="11019" width="11.75" style="35" bestFit="1" customWidth="1"/>
    <col min="11020" max="11020" width="14.25" style="35" bestFit="1" customWidth="1"/>
    <col min="11021" max="11021" width="10.375" style="35" customWidth="1"/>
    <col min="11022" max="11262" width="9" style="35"/>
    <col min="11263" max="11263" width="4.375" style="35" customWidth="1"/>
    <col min="11264" max="11264" width="12.75" style="35" bestFit="1" customWidth="1"/>
    <col min="11265" max="11265" width="17" style="35" bestFit="1" customWidth="1"/>
    <col min="11266" max="11266" width="14" style="35" customWidth="1"/>
    <col min="11267" max="11271" width="14.25" style="35" bestFit="1" customWidth="1"/>
    <col min="11272" max="11272" width="12.75" style="35" customWidth="1"/>
    <col min="11273" max="11273" width="5.5" style="35" customWidth="1"/>
    <col min="11274" max="11274" width="10.625" style="35" customWidth="1"/>
    <col min="11275" max="11275" width="11.75" style="35" bestFit="1" customWidth="1"/>
    <col min="11276" max="11276" width="14.25" style="35" bestFit="1" customWidth="1"/>
    <col min="11277" max="11277" width="10.375" style="35" customWidth="1"/>
    <col min="11278" max="11518" width="9" style="35"/>
    <col min="11519" max="11519" width="4.375" style="35" customWidth="1"/>
    <col min="11520" max="11520" width="12.75" style="35" bestFit="1" customWidth="1"/>
    <col min="11521" max="11521" width="17" style="35" bestFit="1" customWidth="1"/>
    <col min="11522" max="11522" width="14" style="35" customWidth="1"/>
    <col min="11523" max="11527" width="14.25" style="35" bestFit="1" customWidth="1"/>
    <col min="11528" max="11528" width="12.75" style="35" customWidth="1"/>
    <col min="11529" max="11529" width="5.5" style="35" customWidth="1"/>
    <col min="11530" max="11530" width="10.625" style="35" customWidth="1"/>
    <col min="11531" max="11531" width="11.75" style="35" bestFit="1" customWidth="1"/>
    <col min="11532" max="11532" width="14.25" style="35" bestFit="1" customWidth="1"/>
    <col min="11533" max="11533" width="10.375" style="35" customWidth="1"/>
    <col min="11534" max="11774" width="9" style="35"/>
    <col min="11775" max="11775" width="4.375" style="35" customWidth="1"/>
    <col min="11776" max="11776" width="12.75" style="35" bestFit="1" customWidth="1"/>
    <col min="11777" max="11777" width="17" style="35" bestFit="1" customWidth="1"/>
    <col min="11778" max="11778" width="14" style="35" customWidth="1"/>
    <col min="11779" max="11783" width="14.25" style="35" bestFit="1" customWidth="1"/>
    <col min="11784" max="11784" width="12.75" style="35" customWidth="1"/>
    <col min="11785" max="11785" width="5.5" style="35" customWidth="1"/>
    <col min="11786" max="11786" width="10.625" style="35" customWidth="1"/>
    <col min="11787" max="11787" width="11.75" style="35" bestFit="1" customWidth="1"/>
    <col min="11788" max="11788" width="14.25" style="35" bestFit="1" customWidth="1"/>
    <col min="11789" max="11789" width="10.375" style="35" customWidth="1"/>
    <col min="11790" max="12030" width="9" style="35"/>
    <col min="12031" max="12031" width="4.375" style="35" customWidth="1"/>
    <col min="12032" max="12032" width="12.75" style="35" bestFit="1" customWidth="1"/>
    <col min="12033" max="12033" width="17" style="35" bestFit="1" customWidth="1"/>
    <col min="12034" max="12034" width="14" style="35" customWidth="1"/>
    <col min="12035" max="12039" width="14.25" style="35" bestFit="1" customWidth="1"/>
    <col min="12040" max="12040" width="12.75" style="35" customWidth="1"/>
    <col min="12041" max="12041" width="5.5" style="35" customWidth="1"/>
    <col min="12042" max="12042" width="10.625" style="35" customWidth="1"/>
    <col min="12043" max="12043" width="11.75" style="35" bestFit="1" customWidth="1"/>
    <col min="12044" max="12044" width="14.25" style="35" bestFit="1" customWidth="1"/>
    <col min="12045" max="12045" width="10.375" style="35" customWidth="1"/>
    <col min="12046" max="12286" width="9" style="35"/>
    <col min="12287" max="12287" width="4.375" style="35" customWidth="1"/>
    <col min="12288" max="12288" width="12.75" style="35" bestFit="1" customWidth="1"/>
    <col min="12289" max="12289" width="17" style="35" bestFit="1" customWidth="1"/>
    <col min="12290" max="12290" width="14" style="35" customWidth="1"/>
    <col min="12291" max="12295" width="14.25" style="35" bestFit="1" customWidth="1"/>
    <col min="12296" max="12296" width="12.75" style="35" customWidth="1"/>
    <col min="12297" max="12297" width="5.5" style="35" customWidth="1"/>
    <col min="12298" max="12298" width="10.625" style="35" customWidth="1"/>
    <col min="12299" max="12299" width="11.75" style="35" bestFit="1" customWidth="1"/>
    <col min="12300" max="12300" width="14.25" style="35" bestFit="1" customWidth="1"/>
    <col min="12301" max="12301" width="10.375" style="35" customWidth="1"/>
    <col min="12302" max="12542" width="9" style="35"/>
    <col min="12543" max="12543" width="4.375" style="35" customWidth="1"/>
    <col min="12544" max="12544" width="12.75" style="35" bestFit="1" customWidth="1"/>
    <col min="12545" max="12545" width="17" style="35" bestFit="1" customWidth="1"/>
    <col min="12546" max="12546" width="14" style="35" customWidth="1"/>
    <col min="12547" max="12551" width="14.25" style="35" bestFit="1" customWidth="1"/>
    <col min="12552" max="12552" width="12.75" style="35" customWidth="1"/>
    <col min="12553" max="12553" width="5.5" style="35" customWidth="1"/>
    <col min="12554" max="12554" width="10.625" style="35" customWidth="1"/>
    <col min="12555" max="12555" width="11.75" style="35" bestFit="1" customWidth="1"/>
    <col min="12556" max="12556" width="14.25" style="35" bestFit="1" customWidth="1"/>
    <col min="12557" max="12557" width="10.375" style="35" customWidth="1"/>
    <col min="12558" max="12798" width="9" style="35"/>
    <col min="12799" max="12799" width="4.375" style="35" customWidth="1"/>
    <col min="12800" max="12800" width="12.75" style="35" bestFit="1" customWidth="1"/>
    <col min="12801" max="12801" width="17" style="35" bestFit="1" customWidth="1"/>
    <col min="12802" max="12802" width="14" style="35" customWidth="1"/>
    <col min="12803" max="12807" width="14.25" style="35" bestFit="1" customWidth="1"/>
    <col min="12808" max="12808" width="12.75" style="35" customWidth="1"/>
    <col min="12809" max="12809" width="5.5" style="35" customWidth="1"/>
    <col min="12810" max="12810" width="10.625" style="35" customWidth="1"/>
    <col min="12811" max="12811" width="11.75" style="35" bestFit="1" customWidth="1"/>
    <col min="12812" max="12812" width="14.25" style="35" bestFit="1" customWidth="1"/>
    <col min="12813" max="12813" width="10.375" style="35" customWidth="1"/>
    <col min="12814" max="13054" width="9" style="35"/>
    <col min="13055" max="13055" width="4.375" style="35" customWidth="1"/>
    <col min="13056" max="13056" width="12.75" style="35" bestFit="1" customWidth="1"/>
    <col min="13057" max="13057" width="17" style="35" bestFit="1" customWidth="1"/>
    <col min="13058" max="13058" width="14" style="35" customWidth="1"/>
    <col min="13059" max="13063" width="14.25" style="35" bestFit="1" customWidth="1"/>
    <col min="13064" max="13064" width="12.75" style="35" customWidth="1"/>
    <col min="13065" max="13065" width="5.5" style="35" customWidth="1"/>
    <col min="13066" max="13066" width="10.625" style="35" customWidth="1"/>
    <col min="13067" max="13067" width="11.75" style="35" bestFit="1" customWidth="1"/>
    <col min="13068" max="13068" width="14.25" style="35" bestFit="1" customWidth="1"/>
    <col min="13069" max="13069" width="10.375" style="35" customWidth="1"/>
    <col min="13070" max="13310" width="9" style="35"/>
    <col min="13311" max="13311" width="4.375" style="35" customWidth="1"/>
    <col min="13312" max="13312" width="12.75" style="35" bestFit="1" customWidth="1"/>
    <col min="13313" max="13313" width="17" style="35" bestFit="1" customWidth="1"/>
    <col min="13314" max="13314" width="14" style="35" customWidth="1"/>
    <col min="13315" max="13319" width="14.25" style="35" bestFit="1" customWidth="1"/>
    <col min="13320" max="13320" width="12.75" style="35" customWidth="1"/>
    <col min="13321" max="13321" width="5.5" style="35" customWidth="1"/>
    <col min="13322" max="13322" width="10.625" style="35" customWidth="1"/>
    <col min="13323" max="13323" width="11.75" style="35" bestFit="1" customWidth="1"/>
    <col min="13324" max="13324" width="14.25" style="35" bestFit="1" customWidth="1"/>
    <col min="13325" max="13325" width="10.375" style="35" customWidth="1"/>
    <col min="13326" max="13566" width="9" style="35"/>
    <col min="13567" max="13567" width="4.375" style="35" customWidth="1"/>
    <col min="13568" max="13568" width="12.75" style="35" bestFit="1" customWidth="1"/>
    <col min="13569" max="13569" width="17" style="35" bestFit="1" customWidth="1"/>
    <col min="13570" max="13570" width="14" style="35" customWidth="1"/>
    <col min="13571" max="13575" width="14.25" style="35" bestFit="1" customWidth="1"/>
    <col min="13576" max="13576" width="12.75" style="35" customWidth="1"/>
    <col min="13577" max="13577" width="5.5" style="35" customWidth="1"/>
    <col min="13578" max="13578" width="10.625" style="35" customWidth="1"/>
    <col min="13579" max="13579" width="11.75" style="35" bestFit="1" customWidth="1"/>
    <col min="13580" max="13580" width="14.25" style="35" bestFit="1" customWidth="1"/>
    <col min="13581" max="13581" width="10.375" style="35" customWidth="1"/>
    <col min="13582" max="13822" width="9" style="35"/>
    <col min="13823" max="13823" width="4.375" style="35" customWidth="1"/>
    <col min="13824" max="13824" width="12.75" style="35" bestFit="1" customWidth="1"/>
    <col min="13825" max="13825" width="17" style="35" bestFit="1" customWidth="1"/>
    <col min="13826" max="13826" width="14" style="35" customWidth="1"/>
    <col min="13827" max="13831" width="14.25" style="35" bestFit="1" customWidth="1"/>
    <col min="13832" max="13832" width="12.75" style="35" customWidth="1"/>
    <col min="13833" max="13833" width="5.5" style="35" customWidth="1"/>
    <col min="13834" max="13834" width="10.625" style="35" customWidth="1"/>
    <col min="13835" max="13835" width="11.75" style="35" bestFit="1" customWidth="1"/>
    <col min="13836" max="13836" width="14.25" style="35" bestFit="1" customWidth="1"/>
    <col min="13837" max="13837" width="10.375" style="35" customWidth="1"/>
    <col min="13838" max="14078" width="9" style="35"/>
    <col min="14079" max="14079" width="4.375" style="35" customWidth="1"/>
    <col min="14080" max="14080" width="12.75" style="35" bestFit="1" customWidth="1"/>
    <col min="14081" max="14081" width="17" style="35" bestFit="1" customWidth="1"/>
    <col min="14082" max="14082" width="14" style="35" customWidth="1"/>
    <col min="14083" max="14087" width="14.25" style="35" bestFit="1" customWidth="1"/>
    <col min="14088" max="14088" width="12.75" style="35" customWidth="1"/>
    <col min="14089" max="14089" width="5.5" style="35" customWidth="1"/>
    <col min="14090" max="14090" width="10.625" style="35" customWidth="1"/>
    <col min="14091" max="14091" width="11.75" style="35" bestFit="1" customWidth="1"/>
    <col min="14092" max="14092" width="14.25" style="35" bestFit="1" customWidth="1"/>
    <col min="14093" max="14093" width="10.375" style="35" customWidth="1"/>
    <col min="14094" max="14334" width="9" style="35"/>
    <col min="14335" max="14335" width="4.375" style="35" customWidth="1"/>
    <col min="14336" max="14336" width="12.75" style="35" bestFit="1" customWidth="1"/>
    <col min="14337" max="14337" width="17" style="35" bestFit="1" customWidth="1"/>
    <col min="14338" max="14338" width="14" style="35" customWidth="1"/>
    <col min="14339" max="14343" width="14.25" style="35" bestFit="1" customWidth="1"/>
    <col min="14344" max="14344" width="12.75" style="35" customWidth="1"/>
    <col min="14345" max="14345" width="5.5" style="35" customWidth="1"/>
    <col min="14346" max="14346" width="10.625" style="35" customWidth="1"/>
    <col min="14347" max="14347" width="11.75" style="35" bestFit="1" customWidth="1"/>
    <col min="14348" max="14348" width="14.25" style="35" bestFit="1" customWidth="1"/>
    <col min="14349" max="14349" width="10.375" style="35" customWidth="1"/>
    <col min="14350" max="14590" width="9" style="35"/>
    <col min="14591" max="14591" width="4.375" style="35" customWidth="1"/>
    <col min="14592" max="14592" width="12.75" style="35" bestFit="1" customWidth="1"/>
    <col min="14593" max="14593" width="17" style="35" bestFit="1" customWidth="1"/>
    <col min="14594" max="14594" width="14" style="35" customWidth="1"/>
    <col min="14595" max="14599" width="14.25" style="35" bestFit="1" customWidth="1"/>
    <col min="14600" max="14600" width="12.75" style="35" customWidth="1"/>
    <col min="14601" max="14601" width="5.5" style="35" customWidth="1"/>
    <col min="14602" max="14602" width="10.625" style="35" customWidth="1"/>
    <col min="14603" max="14603" width="11.75" style="35" bestFit="1" customWidth="1"/>
    <col min="14604" max="14604" width="14.25" style="35" bestFit="1" customWidth="1"/>
    <col min="14605" max="14605" width="10.375" style="35" customWidth="1"/>
    <col min="14606" max="14846" width="9" style="35"/>
    <col min="14847" max="14847" width="4.375" style="35" customWidth="1"/>
    <col min="14848" max="14848" width="12.75" style="35" bestFit="1" customWidth="1"/>
    <col min="14849" max="14849" width="17" style="35" bestFit="1" customWidth="1"/>
    <col min="14850" max="14850" width="14" style="35" customWidth="1"/>
    <col min="14851" max="14855" width="14.25" style="35" bestFit="1" customWidth="1"/>
    <col min="14856" max="14856" width="12.75" style="35" customWidth="1"/>
    <col min="14857" max="14857" width="5.5" style="35" customWidth="1"/>
    <col min="14858" max="14858" width="10.625" style="35" customWidth="1"/>
    <col min="14859" max="14859" width="11.75" style="35" bestFit="1" customWidth="1"/>
    <col min="14860" max="14860" width="14.25" style="35" bestFit="1" customWidth="1"/>
    <col min="14861" max="14861" width="10.375" style="35" customWidth="1"/>
    <col min="14862" max="15102" width="9" style="35"/>
    <col min="15103" max="15103" width="4.375" style="35" customWidth="1"/>
    <col min="15104" max="15104" width="12.75" style="35" bestFit="1" customWidth="1"/>
    <col min="15105" max="15105" width="17" style="35" bestFit="1" customWidth="1"/>
    <col min="15106" max="15106" width="14" style="35" customWidth="1"/>
    <col min="15107" max="15111" width="14.25" style="35" bestFit="1" customWidth="1"/>
    <col min="15112" max="15112" width="12.75" style="35" customWidth="1"/>
    <col min="15113" max="15113" width="5.5" style="35" customWidth="1"/>
    <col min="15114" max="15114" width="10.625" style="35" customWidth="1"/>
    <col min="15115" max="15115" width="11.75" style="35" bestFit="1" customWidth="1"/>
    <col min="15116" max="15116" width="14.25" style="35" bestFit="1" customWidth="1"/>
    <col min="15117" max="15117" width="10.375" style="35" customWidth="1"/>
    <col min="15118" max="15358" width="9" style="35"/>
    <col min="15359" max="15359" width="4.375" style="35" customWidth="1"/>
    <col min="15360" max="15360" width="12.75" style="35" bestFit="1" customWidth="1"/>
    <col min="15361" max="15361" width="17" style="35" bestFit="1" customWidth="1"/>
    <col min="15362" max="15362" width="14" style="35" customWidth="1"/>
    <col min="15363" max="15367" width="14.25" style="35" bestFit="1" customWidth="1"/>
    <col min="15368" max="15368" width="12.75" style="35" customWidth="1"/>
    <col min="15369" max="15369" width="5.5" style="35" customWidth="1"/>
    <col min="15370" max="15370" width="10.625" style="35" customWidth="1"/>
    <col min="15371" max="15371" width="11.75" style="35" bestFit="1" customWidth="1"/>
    <col min="15372" max="15372" width="14.25" style="35" bestFit="1" customWidth="1"/>
    <col min="15373" max="15373" width="10.375" style="35" customWidth="1"/>
    <col min="15374" max="15614" width="9" style="35"/>
    <col min="15615" max="15615" width="4.375" style="35" customWidth="1"/>
    <col min="15616" max="15616" width="12.75" style="35" bestFit="1" customWidth="1"/>
    <col min="15617" max="15617" width="17" style="35" bestFit="1" customWidth="1"/>
    <col min="15618" max="15618" width="14" style="35" customWidth="1"/>
    <col min="15619" max="15623" width="14.25" style="35" bestFit="1" customWidth="1"/>
    <col min="15624" max="15624" width="12.75" style="35" customWidth="1"/>
    <col min="15625" max="15625" width="5.5" style="35" customWidth="1"/>
    <col min="15626" max="15626" width="10.625" style="35" customWidth="1"/>
    <col min="15627" max="15627" width="11.75" style="35" bestFit="1" customWidth="1"/>
    <col min="15628" max="15628" width="14.25" style="35" bestFit="1" customWidth="1"/>
    <col min="15629" max="15629" width="10.375" style="35" customWidth="1"/>
    <col min="15630" max="15870" width="9" style="35"/>
    <col min="15871" max="15871" width="4.375" style="35" customWidth="1"/>
    <col min="15872" max="15872" width="12.75" style="35" bestFit="1" customWidth="1"/>
    <col min="15873" max="15873" width="17" style="35" bestFit="1" customWidth="1"/>
    <col min="15874" max="15874" width="14" style="35" customWidth="1"/>
    <col min="15875" max="15879" width="14.25" style="35" bestFit="1" customWidth="1"/>
    <col min="15880" max="15880" width="12.75" style="35" customWidth="1"/>
    <col min="15881" max="15881" width="5.5" style="35" customWidth="1"/>
    <col min="15882" max="15882" width="10.625" style="35" customWidth="1"/>
    <col min="15883" max="15883" width="11.75" style="35" bestFit="1" customWidth="1"/>
    <col min="15884" max="15884" width="14.25" style="35" bestFit="1" customWidth="1"/>
    <col min="15885" max="15885" width="10.375" style="35" customWidth="1"/>
    <col min="15886" max="16126" width="9" style="35"/>
    <col min="16127" max="16127" width="4.375" style="35" customWidth="1"/>
    <col min="16128" max="16128" width="12.75" style="35" bestFit="1" customWidth="1"/>
    <col min="16129" max="16129" width="17" style="35" bestFit="1" customWidth="1"/>
    <col min="16130" max="16130" width="14" style="35" customWidth="1"/>
    <col min="16131" max="16135" width="14.25" style="35" bestFit="1" customWidth="1"/>
    <col min="16136" max="16136" width="12.75" style="35" customWidth="1"/>
    <col min="16137" max="16137" width="5.5" style="35" customWidth="1"/>
    <col min="16138" max="16138" width="10.625" style="35" customWidth="1"/>
    <col min="16139" max="16139" width="11.75" style="35" bestFit="1" customWidth="1"/>
    <col min="16140" max="16140" width="14.25" style="35" bestFit="1" customWidth="1"/>
    <col min="16141" max="16141" width="10.375" style="35" customWidth="1"/>
    <col min="16142" max="16384" width="9" style="35"/>
  </cols>
  <sheetData>
    <row r="3" spans="2:14">
      <c r="B3" s="35" t="s">
        <v>116</v>
      </c>
      <c r="K3" s="35" t="s">
        <v>117</v>
      </c>
      <c r="N3" s="36"/>
    </row>
    <row r="4" spans="2:14" ht="27">
      <c r="B4" s="39" t="s">
        <v>118</v>
      </c>
      <c r="C4" s="40" t="s">
        <v>119</v>
      </c>
      <c r="D4" s="39" t="s">
        <v>120</v>
      </c>
      <c r="E4" s="41" t="s">
        <v>121</v>
      </c>
      <c r="F4" s="41" t="s">
        <v>122</v>
      </c>
      <c r="G4" s="41" t="s">
        <v>123</v>
      </c>
      <c r="H4" s="41" t="s">
        <v>124</v>
      </c>
      <c r="I4" s="41" t="s">
        <v>125</v>
      </c>
      <c r="K4" s="42" t="s">
        <v>126</v>
      </c>
      <c r="L4" s="43" t="s">
        <v>184</v>
      </c>
    </row>
    <row r="5" spans="2:14" ht="17.25" customHeight="1">
      <c r="B5" s="42" t="s">
        <v>127</v>
      </c>
      <c r="C5" s="44" t="s">
        <v>128</v>
      </c>
      <c r="D5" s="42" t="s">
        <v>129</v>
      </c>
      <c r="E5" s="42" t="s">
        <v>130</v>
      </c>
      <c r="F5" s="45">
        <v>8</v>
      </c>
      <c r="G5" s="45">
        <v>5</v>
      </c>
      <c r="H5" s="45">
        <v>90000</v>
      </c>
      <c r="I5" s="46">
        <f t="shared" ref="I5:I31" si="0">G5*H5</f>
        <v>450000</v>
      </c>
      <c r="J5" s="47"/>
      <c r="K5" s="42" t="s">
        <v>131</v>
      </c>
      <c r="L5" s="42" t="str">
        <f t="array" ref="L5">INDEX($D$5:$D$31,MATCH(MIN(IF(($E$5:$E$31=K5),$G$5:$G$31)),($E$5:$E$31=K5)*$G$5:$G$31,0))</f>
        <v>고민지</v>
      </c>
    </row>
    <row r="6" spans="2:14" ht="17.25" customHeight="1">
      <c r="B6" s="42" t="s">
        <v>132</v>
      </c>
      <c r="C6" s="44" t="s">
        <v>133</v>
      </c>
      <c r="D6" s="42" t="s">
        <v>134</v>
      </c>
      <c r="E6" s="42" t="s">
        <v>135</v>
      </c>
      <c r="F6" s="45">
        <v>10</v>
      </c>
      <c r="G6" s="45">
        <v>10</v>
      </c>
      <c r="H6" s="45">
        <v>30000</v>
      </c>
      <c r="I6" s="46">
        <v>500000</v>
      </c>
      <c r="K6" s="42" t="s">
        <v>136</v>
      </c>
      <c r="L6" s="42" t="str">
        <f t="array" ref="L6">INDEX($D$5:$D$31,MATCH(MIN(IF(($E$5:$E$31=K6),$G$5:$G$31)),($E$5:$E$31=K6)*$G$5:$G$31,0))</f>
        <v>김유진</v>
      </c>
    </row>
    <row r="7" spans="2:14" ht="17.25" customHeight="1">
      <c r="B7" s="42" t="s">
        <v>132</v>
      </c>
      <c r="C7" s="44" t="s">
        <v>137</v>
      </c>
      <c r="D7" s="42" t="s">
        <v>134</v>
      </c>
      <c r="E7" s="42" t="s">
        <v>135</v>
      </c>
      <c r="F7" s="45">
        <v>15</v>
      </c>
      <c r="G7" s="45">
        <v>1</v>
      </c>
      <c r="H7" s="45">
        <v>30000</v>
      </c>
      <c r="I7" s="46">
        <v>360000</v>
      </c>
      <c r="K7" s="48" t="s">
        <v>138</v>
      </c>
      <c r="L7" s="42" t="str">
        <f t="array" ref="L7">INDEX($D$5:$D$31,MATCH(MIN(IF(($E$5:$E$31=K7),$G$5:$G$31)),($E$5:$E$31=K7)*$G$5:$G$31,0))</f>
        <v>최지수</v>
      </c>
      <c r="M7" s="49"/>
    </row>
    <row r="8" spans="2:14" ht="17.25" customHeight="1">
      <c r="B8" s="42" t="s">
        <v>132</v>
      </c>
      <c r="C8" s="44" t="s">
        <v>139</v>
      </c>
      <c r="D8" s="42" t="s">
        <v>134</v>
      </c>
      <c r="E8" s="42" t="s">
        <v>140</v>
      </c>
      <c r="F8" s="45">
        <v>15</v>
      </c>
      <c r="G8" s="45">
        <v>10</v>
      </c>
      <c r="H8" s="45">
        <v>30000</v>
      </c>
      <c r="I8" s="46">
        <f t="shared" si="0"/>
        <v>300000</v>
      </c>
      <c r="K8" s="48" t="s">
        <v>141</v>
      </c>
      <c r="L8" s="42" t="str">
        <f t="array" ref="L8">INDEX($D$5:$D$31,MATCH(MIN(IF(($E$5:$E$31=K8),$G$5:$G$31)),($E$5:$E$31=K8)*$G$5:$G$31,0))</f>
        <v>권윤재</v>
      </c>
      <c r="M8" s="49"/>
    </row>
    <row r="9" spans="2:14" ht="17.25" customHeight="1">
      <c r="B9" s="42" t="s">
        <v>127</v>
      </c>
      <c r="C9" s="44" t="s">
        <v>142</v>
      </c>
      <c r="D9" s="42" t="s">
        <v>143</v>
      </c>
      <c r="E9" s="42" t="s">
        <v>130</v>
      </c>
      <c r="F9" s="45">
        <v>8</v>
      </c>
      <c r="G9" s="45">
        <v>9</v>
      </c>
      <c r="H9" s="45">
        <v>90000</v>
      </c>
      <c r="I9" s="46">
        <v>500000</v>
      </c>
      <c r="K9" s="48" t="s">
        <v>144</v>
      </c>
      <c r="L9" s="42" t="str">
        <f t="array" ref="L9">INDEX($D$5:$D$31,MATCH(MIN(IF(($E$5:$E$31=K9),$G$5:$G$31)),($E$5:$E$31=K9)*$G$5:$G$31,0))</f>
        <v>김지원</v>
      </c>
      <c r="M9" s="49"/>
    </row>
    <row r="10" spans="2:14" ht="17.25" customHeight="1">
      <c r="B10" s="42" t="s">
        <v>127</v>
      </c>
      <c r="C10" s="44" t="s">
        <v>145</v>
      </c>
      <c r="D10" s="42" t="s">
        <v>146</v>
      </c>
      <c r="E10" s="42" t="s">
        <v>130</v>
      </c>
      <c r="F10" s="45">
        <v>10</v>
      </c>
      <c r="G10" s="45">
        <v>3</v>
      </c>
      <c r="H10" s="45">
        <v>60000</v>
      </c>
      <c r="I10" s="46">
        <v>430000</v>
      </c>
      <c r="L10" s="36"/>
      <c r="M10" s="37"/>
    </row>
    <row r="11" spans="2:14" ht="17.25" customHeight="1">
      <c r="B11" s="42" t="s">
        <v>127</v>
      </c>
      <c r="C11" s="44" t="s">
        <v>147</v>
      </c>
      <c r="D11" s="42" t="s">
        <v>146</v>
      </c>
      <c r="E11" s="42" t="s">
        <v>130</v>
      </c>
      <c r="F11" s="45">
        <v>10</v>
      </c>
      <c r="G11" s="45">
        <v>10</v>
      </c>
      <c r="H11" s="45">
        <v>50000</v>
      </c>
      <c r="I11" s="46">
        <v>250000</v>
      </c>
      <c r="K11" s="50" t="s">
        <v>148</v>
      </c>
      <c r="M11" s="36"/>
    </row>
    <row r="12" spans="2:14" ht="17.25" customHeight="1">
      <c r="B12" s="42" t="s">
        <v>132</v>
      </c>
      <c r="C12" s="44" t="s">
        <v>145</v>
      </c>
      <c r="D12" s="42" t="s">
        <v>146</v>
      </c>
      <c r="E12" s="42" t="s">
        <v>130</v>
      </c>
      <c r="F12" s="45">
        <v>15</v>
      </c>
      <c r="G12" s="45">
        <v>6</v>
      </c>
      <c r="H12" s="45">
        <v>60000</v>
      </c>
      <c r="I12" s="46">
        <f t="shared" si="0"/>
        <v>360000</v>
      </c>
      <c r="K12" s="59" t="s">
        <v>149</v>
      </c>
      <c r="L12" s="60" t="s">
        <v>185</v>
      </c>
    </row>
    <row r="13" spans="2:14" ht="17.25" customHeight="1">
      <c r="B13" s="42" t="s">
        <v>132</v>
      </c>
      <c r="C13" s="44" t="s">
        <v>147</v>
      </c>
      <c r="D13" s="42" t="s">
        <v>146</v>
      </c>
      <c r="E13" s="42" t="s">
        <v>130</v>
      </c>
      <c r="F13" s="45">
        <v>15</v>
      </c>
      <c r="G13" s="45">
        <v>8</v>
      </c>
      <c r="H13" s="45">
        <v>50000</v>
      </c>
      <c r="I13" s="46">
        <f t="shared" si="0"/>
        <v>400000</v>
      </c>
      <c r="K13" s="59"/>
      <c r="L13" s="60"/>
    </row>
    <row r="14" spans="2:14" ht="17.25" customHeight="1">
      <c r="B14" s="42" t="s">
        <v>132</v>
      </c>
      <c r="C14" s="44" t="s">
        <v>150</v>
      </c>
      <c r="D14" s="42" t="s">
        <v>151</v>
      </c>
      <c r="E14" s="42" t="s">
        <v>152</v>
      </c>
      <c r="F14" s="45">
        <v>15</v>
      </c>
      <c r="G14" s="45">
        <v>10</v>
      </c>
      <c r="H14" s="45">
        <v>60000</v>
      </c>
      <c r="I14" s="46">
        <v>390000</v>
      </c>
      <c r="K14" s="42" t="s">
        <v>146</v>
      </c>
      <c r="L14" s="45" t="str">
        <f t="array" ref="L14">INDEX($C$5:$C$31,MATCH(MIN(IF(($D$5:$D$31=K14),$I$5:$I$31)),($D$5:$D$31=K14)*$I$5:$I$31,0))</f>
        <v>오카리나(기초)</v>
      </c>
    </row>
    <row r="15" spans="2:14" ht="17.25" customHeight="1">
      <c r="B15" s="42" t="s">
        <v>132</v>
      </c>
      <c r="C15" s="44" t="s">
        <v>153</v>
      </c>
      <c r="D15" s="42" t="s">
        <v>154</v>
      </c>
      <c r="E15" s="42" t="s">
        <v>140</v>
      </c>
      <c r="F15" s="45">
        <v>8</v>
      </c>
      <c r="G15" s="45">
        <v>5</v>
      </c>
      <c r="H15" s="45">
        <v>80000</v>
      </c>
      <c r="I15" s="46">
        <f t="shared" si="0"/>
        <v>400000</v>
      </c>
      <c r="K15" s="42" t="s">
        <v>134</v>
      </c>
      <c r="L15" s="45" t="str">
        <f t="array" ref="L15">INDEX($C$5:$C$31,MATCH(MIN(IF(($D$5:$D$31=K15),$I$5:$I$31)),($D$5:$D$31=K15)*$I$5:$I$31,0))</f>
        <v>중국어기초</v>
      </c>
    </row>
    <row r="16" spans="2:14" ht="17.25" customHeight="1">
      <c r="B16" s="42" t="s">
        <v>132</v>
      </c>
      <c r="C16" s="44" t="s">
        <v>155</v>
      </c>
      <c r="D16" s="42" t="s">
        <v>156</v>
      </c>
      <c r="E16" s="42" t="s">
        <v>152</v>
      </c>
      <c r="F16" s="45">
        <v>15</v>
      </c>
      <c r="G16" s="45">
        <v>8</v>
      </c>
      <c r="H16" s="45">
        <v>30000</v>
      </c>
      <c r="I16" s="46">
        <f t="shared" si="0"/>
        <v>240000</v>
      </c>
      <c r="K16" s="42" t="s">
        <v>157</v>
      </c>
      <c r="L16" s="45" t="str">
        <f t="array" ref="L16">INDEX($C$5:$C$31,MATCH(MIN(IF(($D$5:$D$31=K16),$I$5:$I$31)),($D$5:$D$31=K16)*$I$5:$I$31,0))</f>
        <v>영어(기초)</v>
      </c>
    </row>
    <row r="17" spans="2:13" ht="17.25" customHeight="1">
      <c r="B17" s="42" t="s">
        <v>132</v>
      </c>
      <c r="C17" s="44" t="s">
        <v>158</v>
      </c>
      <c r="D17" s="42" t="s">
        <v>156</v>
      </c>
      <c r="E17" s="42" t="s">
        <v>152</v>
      </c>
      <c r="F17" s="45">
        <v>15</v>
      </c>
      <c r="G17" s="45">
        <v>6</v>
      </c>
      <c r="H17" s="45">
        <v>35000</v>
      </c>
      <c r="I17" s="46">
        <f t="shared" si="0"/>
        <v>210000</v>
      </c>
      <c r="K17" s="42" t="s">
        <v>159</v>
      </c>
      <c r="L17" s="45" t="str">
        <f t="array" ref="L17">INDEX($C$5:$C$31,MATCH(MIN(IF(($D$5:$D$31=K17),$I$5:$I$31)),($D$5:$D$31=K17)*$I$5:$I$31,0))</f>
        <v>폼아트중급</v>
      </c>
    </row>
    <row r="18" spans="2:13" ht="17.25" customHeight="1">
      <c r="B18" s="42" t="s">
        <v>132</v>
      </c>
      <c r="C18" s="44" t="s">
        <v>160</v>
      </c>
      <c r="D18" s="42" t="s">
        <v>161</v>
      </c>
      <c r="E18" s="42" t="s">
        <v>162</v>
      </c>
      <c r="F18" s="45">
        <v>12</v>
      </c>
      <c r="G18" s="45">
        <v>12</v>
      </c>
      <c r="H18" s="45">
        <v>30000</v>
      </c>
      <c r="I18" s="46">
        <f t="shared" si="0"/>
        <v>360000</v>
      </c>
      <c r="K18" s="42" t="s">
        <v>163</v>
      </c>
      <c r="L18" s="45" t="str">
        <f t="array" ref="L18">INDEX($C$5:$C$31,MATCH(MIN(IF(($D$5:$D$31=K18),$I$5:$I$31)),($D$5:$D$31=K18)*$I$5:$I$31,0))</f>
        <v>일본어중급</v>
      </c>
      <c r="M18" s="36"/>
    </row>
    <row r="19" spans="2:13" ht="17.25" customHeight="1">
      <c r="B19" s="42" t="s">
        <v>127</v>
      </c>
      <c r="C19" s="44" t="s">
        <v>164</v>
      </c>
      <c r="D19" s="42" t="s">
        <v>157</v>
      </c>
      <c r="E19" s="42" t="s">
        <v>152</v>
      </c>
      <c r="F19" s="45">
        <v>15</v>
      </c>
      <c r="G19" s="45">
        <v>13</v>
      </c>
      <c r="H19" s="45">
        <v>50000</v>
      </c>
      <c r="I19" s="46">
        <v>200000</v>
      </c>
      <c r="K19" s="38"/>
      <c r="L19" s="51"/>
      <c r="M19" s="52"/>
    </row>
    <row r="20" spans="2:13" ht="17.25" customHeight="1">
      <c r="B20" s="42" t="s">
        <v>127</v>
      </c>
      <c r="C20" s="44" t="s">
        <v>165</v>
      </c>
      <c r="D20" s="42" t="s">
        <v>157</v>
      </c>
      <c r="E20" s="42" t="s">
        <v>130</v>
      </c>
      <c r="F20" s="45">
        <v>10</v>
      </c>
      <c r="G20" s="45">
        <v>8</v>
      </c>
      <c r="H20" s="45">
        <v>80000</v>
      </c>
      <c r="I20" s="46">
        <v>290000</v>
      </c>
    </row>
    <row r="21" spans="2:13" ht="17.25" customHeight="1">
      <c r="B21" s="42" t="s">
        <v>132</v>
      </c>
      <c r="C21" s="44" t="s">
        <v>166</v>
      </c>
      <c r="D21" s="42" t="s">
        <v>167</v>
      </c>
      <c r="E21" s="42" t="s">
        <v>140</v>
      </c>
      <c r="F21" s="45">
        <v>5</v>
      </c>
      <c r="G21" s="45">
        <v>3</v>
      </c>
      <c r="H21" s="45">
        <v>350000</v>
      </c>
      <c r="I21" s="46">
        <v>360000</v>
      </c>
    </row>
    <row r="22" spans="2:13" ht="17.25" customHeight="1">
      <c r="B22" s="42" t="s">
        <v>132</v>
      </c>
      <c r="C22" s="44" t="s">
        <v>168</v>
      </c>
      <c r="D22" s="42" t="s">
        <v>169</v>
      </c>
      <c r="E22" s="42" t="s">
        <v>135</v>
      </c>
      <c r="F22" s="45">
        <v>10</v>
      </c>
      <c r="G22" s="45">
        <v>11</v>
      </c>
      <c r="H22" s="45">
        <v>30000</v>
      </c>
      <c r="I22" s="46">
        <f t="shared" si="0"/>
        <v>330000</v>
      </c>
    </row>
    <row r="23" spans="2:13" ht="17.25" customHeight="1">
      <c r="B23" s="42" t="s">
        <v>132</v>
      </c>
      <c r="C23" s="44" t="s">
        <v>170</v>
      </c>
      <c r="D23" s="42" t="s">
        <v>169</v>
      </c>
      <c r="E23" s="42" t="s">
        <v>152</v>
      </c>
      <c r="F23" s="45">
        <v>15</v>
      </c>
      <c r="G23" s="45">
        <v>8</v>
      </c>
      <c r="H23" s="45">
        <v>30000</v>
      </c>
      <c r="I23" s="46">
        <v>350000</v>
      </c>
    </row>
    <row r="24" spans="2:13" ht="17.25" customHeight="1">
      <c r="B24" s="42" t="s">
        <v>132</v>
      </c>
      <c r="C24" s="44" t="s">
        <v>171</v>
      </c>
      <c r="D24" s="42" t="s">
        <v>172</v>
      </c>
      <c r="E24" s="42" t="s">
        <v>162</v>
      </c>
      <c r="F24" s="45">
        <v>20</v>
      </c>
      <c r="G24" s="45">
        <v>8</v>
      </c>
      <c r="H24" s="45">
        <v>30000</v>
      </c>
      <c r="I24" s="46">
        <f t="shared" si="0"/>
        <v>240000</v>
      </c>
    </row>
    <row r="25" spans="2:13" ht="17.25" customHeight="1">
      <c r="B25" s="42" t="s">
        <v>132</v>
      </c>
      <c r="C25" s="44" t="s">
        <v>173</v>
      </c>
      <c r="D25" s="42" t="s">
        <v>159</v>
      </c>
      <c r="E25" s="42" t="s">
        <v>130</v>
      </c>
      <c r="F25" s="45">
        <v>15</v>
      </c>
      <c r="G25" s="45">
        <v>5</v>
      </c>
      <c r="H25" s="45">
        <v>40000</v>
      </c>
      <c r="I25" s="46">
        <f t="shared" si="0"/>
        <v>200000</v>
      </c>
    </row>
    <row r="26" spans="2:13" ht="17.25" customHeight="1">
      <c r="B26" s="42" t="s">
        <v>132</v>
      </c>
      <c r="C26" s="44" t="s">
        <v>174</v>
      </c>
      <c r="D26" s="42" t="s">
        <v>159</v>
      </c>
      <c r="E26" s="42" t="s">
        <v>140</v>
      </c>
      <c r="F26" s="45">
        <v>15</v>
      </c>
      <c r="G26" s="45">
        <v>8</v>
      </c>
      <c r="H26" s="45">
        <v>30000</v>
      </c>
      <c r="I26" s="46">
        <f t="shared" si="0"/>
        <v>240000</v>
      </c>
    </row>
    <row r="27" spans="2:13" ht="17.25" customHeight="1">
      <c r="B27" s="42" t="s">
        <v>132</v>
      </c>
      <c r="C27" s="44" t="s">
        <v>175</v>
      </c>
      <c r="D27" s="42" t="s">
        <v>176</v>
      </c>
      <c r="E27" s="42" t="s">
        <v>162</v>
      </c>
      <c r="F27" s="45">
        <v>20</v>
      </c>
      <c r="G27" s="45">
        <v>13</v>
      </c>
      <c r="H27" s="45">
        <v>30000</v>
      </c>
      <c r="I27" s="46">
        <f t="shared" si="0"/>
        <v>390000</v>
      </c>
    </row>
    <row r="28" spans="2:13" ht="17.25" customHeight="1">
      <c r="B28" s="42" t="s">
        <v>132</v>
      </c>
      <c r="C28" s="44" t="s">
        <v>177</v>
      </c>
      <c r="D28" s="42" t="s">
        <v>178</v>
      </c>
      <c r="E28" s="42" t="s">
        <v>162</v>
      </c>
      <c r="F28" s="45">
        <v>20</v>
      </c>
      <c r="G28" s="45">
        <v>20</v>
      </c>
      <c r="H28" s="45">
        <v>30000</v>
      </c>
      <c r="I28" s="46">
        <f t="shared" si="0"/>
        <v>600000</v>
      </c>
    </row>
    <row r="29" spans="2:13" ht="17.25" customHeight="1">
      <c r="B29" s="42" t="s">
        <v>132</v>
      </c>
      <c r="C29" s="44" t="s">
        <v>179</v>
      </c>
      <c r="D29" s="42" t="s">
        <v>180</v>
      </c>
      <c r="E29" s="45" t="s">
        <v>181</v>
      </c>
      <c r="F29" s="45">
        <v>15</v>
      </c>
      <c r="G29" s="45">
        <v>10</v>
      </c>
      <c r="H29" s="45">
        <v>30000</v>
      </c>
      <c r="I29" s="46">
        <f t="shared" si="0"/>
        <v>300000</v>
      </c>
    </row>
    <row r="30" spans="2:13" ht="17.25" customHeight="1">
      <c r="B30" s="42" t="s">
        <v>132</v>
      </c>
      <c r="C30" s="44" t="s">
        <v>182</v>
      </c>
      <c r="D30" s="42" t="s">
        <v>163</v>
      </c>
      <c r="E30" s="42" t="s">
        <v>162</v>
      </c>
      <c r="F30" s="45">
        <v>15</v>
      </c>
      <c r="G30" s="45">
        <v>2</v>
      </c>
      <c r="H30" s="45">
        <v>30000</v>
      </c>
      <c r="I30" s="46">
        <v>440000</v>
      </c>
    </row>
    <row r="31" spans="2:13" ht="17.25" customHeight="1">
      <c r="B31" s="42" t="s">
        <v>132</v>
      </c>
      <c r="C31" s="44" t="s">
        <v>183</v>
      </c>
      <c r="D31" s="42" t="s">
        <v>163</v>
      </c>
      <c r="E31" s="42" t="s">
        <v>141</v>
      </c>
      <c r="F31" s="45">
        <v>15</v>
      </c>
      <c r="G31" s="45">
        <v>7</v>
      </c>
      <c r="H31" s="45">
        <v>35000</v>
      </c>
      <c r="I31" s="46">
        <f t="shared" si="0"/>
        <v>245000</v>
      </c>
    </row>
    <row r="32" spans="2:13">
      <c r="C32" s="35"/>
      <c r="I32" s="36"/>
    </row>
    <row r="33" spans="5:14">
      <c r="I33" s="36"/>
    </row>
    <row r="35" spans="5:14">
      <c r="E35" s="49"/>
    </row>
    <row r="36" spans="5:14">
      <c r="E36" s="53"/>
    </row>
    <row r="37" spans="5:14">
      <c r="E37" s="53"/>
    </row>
    <row r="38" spans="5:14" s="54" customFormat="1">
      <c r="E38" s="49"/>
      <c r="K38" s="55"/>
      <c r="L38" s="35"/>
      <c r="M38" s="35"/>
      <c r="N38" s="35"/>
    </row>
    <row r="39" spans="5:14" s="54" customFormat="1">
      <c r="E39" s="49"/>
      <c r="K39" s="35"/>
      <c r="L39" s="35"/>
      <c r="M39" s="35"/>
      <c r="N39" s="35"/>
    </row>
    <row r="42" spans="5:14">
      <c r="I42" s="36"/>
    </row>
    <row r="43" spans="5:14">
      <c r="I43" s="36"/>
    </row>
    <row r="44" spans="5:14">
      <c r="I44" s="36"/>
    </row>
    <row r="45" spans="5:14">
      <c r="I45" s="36"/>
    </row>
    <row r="46" spans="5:14">
      <c r="I46" s="36"/>
      <c r="N46" s="54"/>
    </row>
    <row r="47" spans="5:14">
      <c r="I47" s="36"/>
      <c r="N47" s="54"/>
    </row>
    <row r="48" spans="5:14">
      <c r="I48" s="36"/>
    </row>
    <row r="49" spans="9:13">
      <c r="I49" s="36"/>
    </row>
    <row r="54" spans="9:13">
      <c r="K54" s="54"/>
    </row>
    <row r="55" spans="9:13">
      <c r="K55" s="54"/>
    </row>
    <row r="56" spans="9:13">
      <c r="L56" s="54"/>
      <c r="M56" s="54"/>
    </row>
    <row r="57" spans="9:13">
      <c r="L57" s="54"/>
      <c r="M57" s="54"/>
    </row>
  </sheetData>
  <mergeCells count="2">
    <mergeCell ref="K12:K13"/>
    <mergeCell ref="L12:L13"/>
  </mergeCells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</vt:i4>
      </vt:variant>
    </vt:vector>
  </HeadingPairs>
  <TitlesOfParts>
    <vt:vector size="9" baseType="lpstr">
      <vt:lpstr>예제1</vt:lpstr>
      <vt:lpstr>예제1(정답)</vt:lpstr>
      <vt:lpstr>예제2</vt:lpstr>
      <vt:lpstr>예제2(정답)</vt:lpstr>
      <vt:lpstr>예제3</vt:lpstr>
      <vt:lpstr>예제3(정답)</vt:lpstr>
      <vt:lpstr>비서학과</vt:lpstr>
      <vt:lpstr>실시</vt:lpstr>
      <vt:lpstr>정교수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GreenArt</cp:lastModifiedBy>
  <dcterms:created xsi:type="dcterms:W3CDTF">2011-06-14T06:57:50Z</dcterms:created>
  <dcterms:modified xsi:type="dcterms:W3CDTF">2020-01-20T09:36:33Z</dcterms:modified>
</cp:coreProperties>
</file>